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aa1c43f45aabf9e/Desktop/7th Sem/"/>
    </mc:Choice>
  </mc:AlternateContent>
  <xr:revisionPtr revIDLastSave="0" documentId="8_{C263D030-BB5F-4C70-AA33-540A4CA4C1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alysis" sheetId="2" r:id="rId1"/>
    <sheet name="Data" sheetId="3" r:id="rId2"/>
  </sheets>
  <definedNames>
    <definedName name="_xlnm._FilterDatabase" localSheetId="1" hidden="1">Data!$A$1:$X$61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61" i="3" l="1"/>
  <c r="U61" i="3"/>
  <c r="T61" i="3"/>
  <c r="X61" i="3" s="1"/>
  <c r="S61" i="3"/>
  <c r="W61" i="3" s="1"/>
  <c r="V60" i="3"/>
  <c r="U60" i="3"/>
  <c r="T60" i="3"/>
  <c r="X60" i="3" s="1"/>
  <c r="S60" i="3"/>
  <c r="W60" i="3" s="1"/>
  <c r="V59" i="3"/>
  <c r="U59" i="3"/>
  <c r="T59" i="3"/>
  <c r="X59" i="3" s="1"/>
  <c r="S59" i="3"/>
  <c r="W59" i="3" s="1"/>
  <c r="V58" i="3"/>
  <c r="U58" i="3"/>
  <c r="T58" i="3"/>
  <c r="X58" i="3" s="1"/>
  <c r="S58" i="3"/>
  <c r="W58" i="3" s="1"/>
  <c r="V57" i="3"/>
  <c r="U57" i="3"/>
  <c r="T57" i="3"/>
  <c r="X57" i="3" s="1"/>
  <c r="S57" i="3"/>
  <c r="W57" i="3" s="1"/>
  <c r="V56" i="3"/>
  <c r="U56" i="3"/>
  <c r="T56" i="3"/>
  <c r="X56" i="3" s="1"/>
  <c r="S56" i="3"/>
  <c r="W56" i="3" s="1"/>
  <c r="V55" i="3"/>
  <c r="U55" i="3"/>
  <c r="T55" i="3"/>
  <c r="X55" i="3" s="1"/>
  <c r="S55" i="3"/>
  <c r="W55" i="3" s="1"/>
  <c r="V54" i="3"/>
  <c r="U54" i="3"/>
  <c r="T54" i="3"/>
  <c r="X54" i="3" s="1"/>
  <c r="S54" i="3"/>
  <c r="W54" i="3" s="1"/>
  <c r="V53" i="3"/>
  <c r="U53" i="3"/>
  <c r="T53" i="3"/>
  <c r="X53" i="3" s="1"/>
  <c r="S53" i="3"/>
  <c r="W53" i="3" s="1"/>
  <c r="V52" i="3"/>
  <c r="U52" i="3"/>
  <c r="T52" i="3"/>
  <c r="X52" i="3" s="1"/>
  <c r="S52" i="3"/>
  <c r="W52" i="3" s="1"/>
  <c r="V51" i="3"/>
  <c r="U51" i="3"/>
  <c r="T51" i="3"/>
  <c r="X51" i="3" s="1"/>
  <c r="S51" i="3"/>
  <c r="W51" i="3" s="1"/>
  <c r="V50" i="3"/>
  <c r="U50" i="3"/>
  <c r="T50" i="3"/>
  <c r="X50" i="3" s="1"/>
  <c r="S50" i="3"/>
  <c r="W50" i="3" s="1"/>
  <c r="V49" i="3"/>
  <c r="U49" i="3"/>
  <c r="T49" i="3"/>
  <c r="X49" i="3" s="1"/>
  <c r="S49" i="3"/>
  <c r="W49" i="3" s="1"/>
  <c r="V48" i="3"/>
  <c r="U48" i="3"/>
  <c r="T48" i="3"/>
  <c r="X48" i="3" s="1"/>
  <c r="S48" i="3"/>
  <c r="W48" i="3" s="1"/>
  <c r="V47" i="3"/>
  <c r="U47" i="3"/>
  <c r="T47" i="3"/>
  <c r="X47" i="3" s="1"/>
  <c r="S47" i="3"/>
  <c r="W47" i="3" s="1"/>
  <c r="V46" i="3"/>
  <c r="U46" i="3"/>
  <c r="T46" i="3"/>
  <c r="X46" i="3" s="1"/>
  <c r="S46" i="3"/>
  <c r="W46" i="3" s="1"/>
  <c r="V45" i="3"/>
  <c r="U45" i="3"/>
  <c r="T45" i="3"/>
  <c r="X45" i="3" s="1"/>
  <c r="S45" i="3"/>
  <c r="W45" i="3" s="1"/>
  <c r="V44" i="3"/>
  <c r="U44" i="3"/>
  <c r="T44" i="3"/>
  <c r="X44" i="3" s="1"/>
  <c r="S44" i="3"/>
  <c r="W44" i="3" s="1"/>
  <c r="V43" i="3"/>
  <c r="U43" i="3"/>
  <c r="T43" i="3"/>
  <c r="X43" i="3" s="1"/>
  <c r="S43" i="3"/>
  <c r="W43" i="3" s="1"/>
  <c r="V42" i="3"/>
  <c r="U42" i="3"/>
  <c r="T42" i="3"/>
  <c r="X42" i="3" s="1"/>
  <c r="S42" i="3"/>
  <c r="W42" i="3" s="1"/>
  <c r="V41" i="3"/>
  <c r="U41" i="3"/>
  <c r="T41" i="3"/>
  <c r="X41" i="3" s="1"/>
  <c r="S41" i="3"/>
  <c r="W41" i="3" s="1"/>
  <c r="V40" i="3"/>
  <c r="U40" i="3"/>
  <c r="T40" i="3"/>
  <c r="X40" i="3" s="1"/>
  <c r="S40" i="3"/>
  <c r="W40" i="3" s="1"/>
  <c r="X39" i="3"/>
  <c r="W39" i="3"/>
  <c r="V39" i="3"/>
  <c r="U39" i="3"/>
  <c r="T39" i="3"/>
  <c r="S39" i="3"/>
  <c r="V38" i="3"/>
  <c r="U38" i="3"/>
  <c r="T38" i="3"/>
  <c r="X38" i="3" s="1"/>
  <c r="S38" i="3"/>
  <c r="W38" i="3" s="1"/>
  <c r="V37" i="3"/>
  <c r="U37" i="3"/>
  <c r="T37" i="3"/>
  <c r="X37" i="3" s="1"/>
  <c r="S37" i="3"/>
  <c r="W37" i="3" s="1"/>
  <c r="V36" i="3"/>
  <c r="U36" i="3"/>
  <c r="T36" i="3"/>
  <c r="X36" i="3" s="1"/>
  <c r="S36" i="3"/>
  <c r="W36" i="3" s="1"/>
  <c r="V35" i="3"/>
  <c r="U35" i="3"/>
  <c r="T35" i="3"/>
  <c r="X35" i="3" s="1"/>
  <c r="S35" i="3"/>
  <c r="W35" i="3" s="1"/>
  <c r="V34" i="3"/>
  <c r="U34" i="3"/>
  <c r="T34" i="3"/>
  <c r="X34" i="3" s="1"/>
  <c r="S34" i="3"/>
  <c r="W34" i="3" s="1"/>
  <c r="V33" i="3"/>
  <c r="U33" i="3"/>
  <c r="T33" i="3"/>
  <c r="X33" i="3" s="1"/>
  <c r="S33" i="3"/>
  <c r="W33" i="3" s="1"/>
  <c r="V32" i="3"/>
  <c r="U32" i="3"/>
  <c r="T32" i="3"/>
  <c r="X32" i="3" s="1"/>
  <c r="S32" i="3"/>
  <c r="W32" i="3" s="1"/>
  <c r="V31" i="3"/>
  <c r="U31" i="3"/>
  <c r="T31" i="3"/>
  <c r="X31" i="3" s="1"/>
  <c r="S31" i="3"/>
  <c r="W31" i="3" s="1"/>
  <c r="V30" i="3"/>
  <c r="U30" i="3"/>
  <c r="T30" i="3"/>
  <c r="X30" i="3" s="1"/>
  <c r="S30" i="3"/>
  <c r="W30" i="3" s="1"/>
  <c r="V29" i="3"/>
  <c r="U29" i="3"/>
  <c r="T29" i="3"/>
  <c r="X29" i="3" s="1"/>
  <c r="S29" i="3"/>
  <c r="W29" i="3" s="1"/>
  <c r="X28" i="3"/>
  <c r="W28" i="3"/>
  <c r="V28" i="3"/>
  <c r="U28" i="3"/>
  <c r="T28" i="3"/>
  <c r="S28" i="3"/>
  <c r="V27" i="3"/>
  <c r="U27" i="3"/>
  <c r="T27" i="3"/>
  <c r="X27" i="3" s="1"/>
  <c r="S27" i="3"/>
  <c r="W27" i="3" s="1"/>
  <c r="V26" i="3"/>
  <c r="U26" i="3"/>
  <c r="T26" i="3"/>
  <c r="X26" i="3" s="1"/>
  <c r="S26" i="3"/>
  <c r="W26" i="3" s="1"/>
  <c r="V25" i="3"/>
  <c r="U25" i="3"/>
  <c r="T25" i="3"/>
  <c r="X25" i="3" s="1"/>
  <c r="S25" i="3"/>
  <c r="W25" i="3" s="1"/>
  <c r="V24" i="3"/>
  <c r="U24" i="3"/>
  <c r="T24" i="3"/>
  <c r="X24" i="3" s="1"/>
  <c r="S24" i="3"/>
  <c r="W24" i="3" s="1"/>
  <c r="V23" i="3"/>
  <c r="U23" i="3"/>
  <c r="T23" i="3"/>
  <c r="X23" i="3" s="1"/>
  <c r="S23" i="3"/>
  <c r="W23" i="3" s="1"/>
  <c r="V22" i="3"/>
  <c r="U22" i="3"/>
  <c r="T22" i="3"/>
  <c r="X22" i="3" s="1"/>
  <c r="S22" i="3"/>
  <c r="W22" i="3" s="1"/>
  <c r="V21" i="3"/>
  <c r="U21" i="3"/>
  <c r="T21" i="3"/>
  <c r="X21" i="3" s="1"/>
  <c r="S21" i="3"/>
  <c r="W21" i="3" s="1"/>
  <c r="V20" i="3"/>
  <c r="U20" i="3"/>
  <c r="T20" i="3"/>
  <c r="X20" i="3" s="1"/>
  <c r="S20" i="3"/>
  <c r="W20" i="3" s="1"/>
  <c r="V19" i="3"/>
  <c r="U19" i="3"/>
  <c r="T19" i="3"/>
  <c r="X19" i="3" s="1"/>
  <c r="S19" i="3"/>
  <c r="W19" i="3" s="1"/>
  <c r="V18" i="3"/>
  <c r="U18" i="3"/>
  <c r="T18" i="3"/>
  <c r="X18" i="3" s="1"/>
  <c r="S18" i="3"/>
  <c r="W18" i="3" s="1"/>
  <c r="X17" i="3"/>
  <c r="W17" i="3"/>
  <c r="V17" i="3"/>
  <c r="U17" i="3"/>
  <c r="T17" i="3"/>
  <c r="S17" i="3"/>
  <c r="V16" i="3"/>
  <c r="U16" i="3"/>
  <c r="T16" i="3"/>
  <c r="X16" i="3" s="1"/>
  <c r="S16" i="3"/>
  <c r="W16" i="3" s="1"/>
  <c r="V15" i="3"/>
  <c r="U15" i="3"/>
  <c r="T15" i="3"/>
  <c r="X15" i="3" s="1"/>
  <c r="S15" i="3"/>
  <c r="W15" i="3" s="1"/>
  <c r="V14" i="3"/>
  <c r="U14" i="3"/>
  <c r="T14" i="3"/>
  <c r="X14" i="3" s="1"/>
  <c r="S14" i="3"/>
  <c r="W14" i="3" s="1"/>
  <c r="V13" i="3"/>
  <c r="U13" i="3"/>
  <c r="T13" i="3"/>
  <c r="X13" i="3" s="1"/>
  <c r="S13" i="3"/>
  <c r="W13" i="3" s="1"/>
  <c r="V12" i="3"/>
  <c r="U12" i="3"/>
  <c r="T12" i="3"/>
  <c r="X12" i="3" s="1"/>
  <c r="S12" i="3"/>
  <c r="W12" i="3" s="1"/>
  <c r="V11" i="3"/>
  <c r="U11" i="3"/>
  <c r="T11" i="3"/>
  <c r="X11" i="3" s="1"/>
  <c r="S11" i="3"/>
  <c r="W11" i="3" s="1"/>
  <c r="V10" i="3"/>
  <c r="U10" i="3"/>
  <c r="T10" i="3"/>
  <c r="X10" i="3" s="1"/>
  <c r="S10" i="3"/>
  <c r="W10" i="3" s="1"/>
  <c r="V9" i="3"/>
  <c r="U9" i="3"/>
  <c r="T9" i="3"/>
  <c r="X9" i="3" s="1"/>
  <c r="S9" i="3"/>
  <c r="W9" i="3" s="1"/>
  <c r="V8" i="3"/>
  <c r="U8" i="3"/>
  <c r="T8" i="3"/>
  <c r="X8" i="3" s="1"/>
  <c r="S8" i="3"/>
  <c r="W8" i="3" s="1"/>
  <c r="V7" i="3"/>
  <c r="U7" i="3"/>
  <c r="T7" i="3"/>
  <c r="X7" i="3" s="1"/>
  <c r="S7" i="3"/>
  <c r="W7" i="3" s="1"/>
  <c r="W6" i="3"/>
  <c r="V6" i="3"/>
  <c r="U6" i="3"/>
  <c r="T6" i="3"/>
  <c r="X6" i="3" s="1"/>
  <c r="S6" i="3"/>
  <c r="V5" i="3"/>
  <c r="U5" i="3"/>
  <c r="T5" i="3"/>
  <c r="X5" i="3" s="1"/>
  <c r="S5" i="3"/>
  <c r="W5" i="3" s="1"/>
  <c r="V4" i="3"/>
  <c r="U4" i="3"/>
  <c r="T4" i="3"/>
  <c r="X4" i="3" s="1"/>
  <c r="S4" i="3"/>
  <c r="W4" i="3" s="1"/>
  <c r="V3" i="3"/>
  <c r="U3" i="3"/>
  <c r="T3" i="3"/>
  <c r="X3" i="3" s="1"/>
  <c r="S3" i="3"/>
  <c r="W3" i="3" s="1"/>
  <c r="V2" i="3"/>
  <c r="U2" i="3"/>
  <c r="T2" i="3"/>
  <c r="X2" i="3" s="1"/>
  <c r="S2" i="3"/>
  <c r="W2" i="3" s="1"/>
  <c r="B56" i="2" s="1"/>
  <c r="C80" i="2"/>
  <c r="D80" i="2" s="1"/>
  <c r="B80" i="2"/>
  <c r="D77" i="2"/>
  <c r="D76" i="2"/>
  <c r="D75" i="2"/>
  <c r="D74" i="2"/>
  <c r="D73" i="2"/>
  <c r="C61" i="2"/>
  <c r="B61" i="2"/>
  <c r="C60" i="2"/>
  <c r="B60" i="2"/>
  <c r="C59" i="2"/>
  <c r="B59" i="2"/>
  <c r="C58" i="2"/>
  <c r="B58" i="2"/>
  <c r="C57" i="2"/>
  <c r="B57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J48" i="2"/>
  <c r="I48" i="2"/>
  <c r="H48" i="2"/>
  <c r="G48" i="2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J52" i="2" s="1"/>
  <c r="I44" i="2"/>
  <c r="I52" i="2" s="1"/>
  <c r="H44" i="2"/>
  <c r="H52" i="2" s="1"/>
  <c r="G44" i="2"/>
  <c r="G52" i="2" s="1"/>
  <c r="F44" i="2"/>
  <c r="F52" i="2" s="1"/>
  <c r="E44" i="2"/>
  <c r="E52" i="2" s="1"/>
  <c r="D44" i="2"/>
  <c r="D52" i="2" s="1"/>
  <c r="C44" i="2"/>
  <c r="C52" i="2" s="1"/>
  <c r="B44" i="2"/>
  <c r="B52" i="2" s="1"/>
  <c r="C40" i="2"/>
  <c r="B40" i="2"/>
  <c r="C39" i="2"/>
  <c r="B39" i="2"/>
  <c r="C38" i="2"/>
  <c r="B38" i="2"/>
  <c r="C37" i="2"/>
  <c r="B37" i="2"/>
  <c r="C36" i="2"/>
  <c r="B36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B24" i="2"/>
  <c r="B23" i="2"/>
  <c r="B22" i="2"/>
  <c r="B21" i="2"/>
  <c r="B20" i="2"/>
  <c r="B19" i="2"/>
  <c r="B18" i="2"/>
  <c r="B25" i="2" s="1"/>
  <c r="B15" i="2"/>
  <c r="C15" i="2" s="1"/>
  <c r="B14" i="2"/>
  <c r="C14" i="2" s="1"/>
  <c r="C9" i="2"/>
  <c r="D9" i="2" s="1"/>
  <c r="B9" i="2"/>
  <c r="C8" i="2"/>
  <c r="D8" i="2" s="1"/>
  <c r="B8" i="2"/>
  <c r="C7" i="2"/>
  <c r="D7" i="2" s="1"/>
  <c r="B7" i="2"/>
  <c r="C6" i="2"/>
  <c r="D6" i="2" s="1"/>
  <c r="B6" i="2"/>
  <c r="C5" i="2"/>
  <c r="B5" i="2"/>
  <c r="B67" i="2" l="1"/>
  <c r="B68" i="2"/>
  <c r="B66" i="2"/>
  <c r="B65" i="2"/>
  <c r="B64" i="2"/>
  <c r="B69" i="2" s="1"/>
  <c r="C56" i="2"/>
  <c r="D5" i="2"/>
  <c r="C81" i="2"/>
  <c r="C10" i="2"/>
  <c r="D10" i="2" s="1"/>
  <c r="B10" i="2"/>
  <c r="B81" i="2"/>
  <c r="D81" i="2" l="1"/>
</calcChain>
</file>

<file path=xl/sharedStrings.xml><?xml version="1.0" encoding="utf-8"?>
<sst xmlns="http://schemas.openxmlformats.org/spreadsheetml/2006/main" count="668" uniqueCount="256">
  <si>
    <t>Analysis: Tripura 2018 vs 2023 (all figures are formulas on the Data sheet unless in blue)</t>
  </si>
  <si>
    <t>A. Seats won by party</t>
  </si>
  <si>
    <t>Party</t>
  </si>
  <si>
    <t>Seats 2018</t>
  </si>
  <si>
    <t>Seats 2023</t>
  </si>
  <si>
    <t>Change</t>
  </si>
  <si>
    <t>BJP</t>
  </si>
  <si>
    <t>IPFT</t>
  </si>
  <si>
    <t>CPI(M)</t>
  </si>
  <si>
    <t>INC</t>
  </si>
  <si>
    <t>TMP</t>
  </si>
  <si>
    <t>Total</t>
  </si>
  <si>
    <t>B. How many seats changed party?</t>
  </si>
  <si>
    <t>Measure</t>
  </si>
  <si>
    <t>Count</t>
  </si>
  <si>
    <t>Share of 60</t>
  </si>
  <si>
    <t>Seats that changed party</t>
  </si>
  <si>
    <t>Seats held by same party</t>
  </si>
  <si>
    <t>Transition (2018 -&gt; 2023)</t>
  </si>
  <si>
    <t>Seats</t>
  </si>
  <si>
    <t>IPFT -&gt; TMP</t>
  </si>
  <si>
    <t>CPI(M) -&gt; BJP</t>
  </si>
  <si>
    <t>BJP -&gt; CPI(M)</t>
  </si>
  <si>
    <t>BJP -&gt; TMP</t>
  </si>
  <si>
    <t>BJP -&gt; INC</t>
  </si>
  <si>
    <t>CPI(M) -&gt; IPFT</t>
  </si>
  <si>
    <t>CPI(M) -&gt; INC</t>
  </si>
  <si>
    <t>Total changed</t>
  </si>
  <si>
    <t>C. Seats by reserved category and party</t>
  </si>
  <si>
    <t>Category</t>
  </si>
  <si>
    <t>BJP 2018</t>
  </si>
  <si>
    <t>BJP 2023</t>
  </si>
  <si>
    <t>IPFT 2018</t>
  </si>
  <si>
    <t>IPFT 2023</t>
  </si>
  <si>
    <t>CPI(M) 2018</t>
  </si>
  <si>
    <t>CPI(M) 2023</t>
  </si>
  <si>
    <t>INC 2023</t>
  </si>
  <si>
    <t>TMP 2023</t>
  </si>
  <si>
    <t>GEN</t>
  </si>
  <si>
    <t>SC</t>
  </si>
  <si>
    <t>ST</t>
  </si>
  <si>
    <t>Reading it: 2018 columns count that party's seats won in 2018; 2023 columns count 2023 seats. TMP and INC had no 2018 wins.</t>
  </si>
  <si>
    <t>C2. ST-reserved seats (20) by party, for the chart</t>
  </si>
  <si>
    <t>ST seats 2018</t>
  </si>
  <si>
    <t>ST seats 2023</t>
  </si>
  <si>
    <t>D. Seats by district and party</t>
  </si>
  <si>
    <t>District</t>
  </si>
  <si>
    <t>West Tripura</t>
  </si>
  <si>
    <t>Sipahijala</t>
  </si>
  <si>
    <t>Khowai</t>
  </si>
  <si>
    <t>Gomati</t>
  </si>
  <si>
    <t>South Tripura</t>
  </si>
  <si>
    <t>Dhalai</t>
  </si>
  <si>
    <t>Unakoti</t>
  </si>
  <si>
    <t>North Tripura</t>
  </si>
  <si>
    <t>E. How competitive were the seats?</t>
  </si>
  <si>
    <t>2018</t>
  </si>
  <si>
    <t>2023</t>
  </si>
  <si>
    <t>Close seats (margin &lt; 5% of votes)</t>
  </si>
  <si>
    <t>Seats won by under 1,000 votes</t>
  </si>
  <si>
    <t>Median margin (% of votes)</t>
  </si>
  <si>
    <t>Median margin (votes)</t>
  </si>
  <si>
    <t>Smallest margin (votes)</t>
  </si>
  <si>
    <t>Largest margin (votes)</t>
  </si>
  <si>
    <t>Close seats in 2023 won by</t>
  </si>
  <si>
    <t>F. Statewide vote share (% of valid votes)</t>
  </si>
  <si>
    <t>2018 (%)</t>
  </si>
  <si>
    <t>2023 (%)</t>
  </si>
  <si>
    <t>Change (pp)</t>
  </si>
  <si>
    <t>Blue = copied from source (Wikipedia, compiled from ECI). TMP did not exist in 2018. IPFT contested 9 seats in 2018 and 6 in 2023.</t>
  </si>
  <si>
    <t>Alliance view (derived): NDA (BJP+IPFT) 2018 vs 2023</t>
  </si>
  <si>
    <t>NDA vote share</t>
  </si>
  <si>
    <t>NDA seats</t>
  </si>
  <si>
    <t>No</t>
  </si>
  <si>
    <t>Constituency</t>
  </si>
  <si>
    <t>Winner 2018</t>
  </si>
  <si>
    <t>Party 2018</t>
  </si>
  <si>
    <t>Votes 2018</t>
  </si>
  <si>
    <t>Win share 2018 (%)</t>
  </si>
  <si>
    <t>Runner-up party 2018</t>
  </si>
  <si>
    <t>Runner-up votes 2018</t>
  </si>
  <si>
    <t>Margin 2018 (votes)</t>
  </si>
  <si>
    <t>Winner 2023</t>
  </si>
  <si>
    <t>Party 2023</t>
  </si>
  <si>
    <t>Votes 2023</t>
  </si>
  <si>
    <t>Win share 2023 (%)</t>
  </si>
  <si>
    <t>Runner-up party 2023</t>
  </si>
  <si>
    <t>Runner-up votes 2023</t>
  </si>
  <si>
    <t>Margin 2023 (votes)</t>
  </si>
  <si>
    <t>Margin 2018 (% of votes)</t>
  </si>
  <si>
    <t>Margin 2023 (% of votes)</t>
  </si>
  <si>
    <t>Seat changed party?</t>
  </si>
  <si>
    <t>Transition 2018 -&gt; 2023</t>
  </si>
  <si>
    <t>Close in 2018 (&lt;5%)?</t>
  </si>
  <si>
    <t>Close in 2023 (&lt;5%)?</t>
  </si>
  <si>
    <t>Simna</t>
  </si>
  <si>
    <t>Brishaketu Debbarma</t>
  </si>
  <si>
    <t>Mohanpur</t>
  </si>
  <si>
    <t>Ratan Lal Nath</t>
  </si>
  <si>
    <t>Bamutia</t>
  </si>
  <si>
    <t>Krishnadhan Das</t>
  </si>
  <si>
    <t>Nayan Sarkar</t>
  </si>
  <si>
    <t>Barjala</t>
  </si>
  <si>
    <t>Dilip Kumar Das</t>
  </si>
  <si>
    <t>Sudip Sarkar</t>
  </si>
  <si>
    <t>Khayerpur</t>
  </si>
  <si>
    <t>Ratan Chakraborty</t>
  </si>
  <si>
    <t>Agartala</t>
  </si>
  <si>
    <t>Sudip Roy Barman</t>
  </si>
  <si>
    <t>Ramnagar</t>
  </si>
  <si>
    <t>Surajit Datta</t>
  </si>
  <si>
    <t>IND</t>
  </si>
  <si>
    <t>Town Bordowali</t>
  </si>
  <si>
    <t>Ashish Kumar Saha</t>
  </si>
  <si>
    <t>AIFB</t>
  </si>
  <si>
    <t>Manik Saha</t>
  </si>
  <si>
    <t>Banamalipur</t>
  </si>
  <si>
    <t>Biplab Kumar Deb</t>
  </si>
  <si>
    <t>Gopal Chandra Roy</t>
  </si>
  <si>
    <t>Majlishpur</t>
  </si>
  <si>
    <t>Sushanta Chowdhury</t>
  </si>
  <si>
    <t>Mandaibazar</t>
  </si>
  <si>
    <t>Dhirendra Debbarma</t>
  </si>
  <si>
    <t>Swapna Debbarma</t>
  </si>
  <si>
    <t>Takarjala</t>
  </si>
  <si>
    <t>Narendra Chandra Debbarma</t>
  </si>
  <si>
    <t>Biswajit Kalai</t>
  </si>
  <si>
    <t>Pratapgarh</t>
  </si>
  <si>
    <t>Rebati Mohan Das</t>
  </si>
  <si>
    <t>Ramu Das</t>
  </si>
  <si>
    <t>Badharghat</t>
  </si>
  <si>
    <t>Dilip Sarkar</t>
  </si>
  <si>
    <t>Mina Rani Sarkar</t>
  </si>
  <si>
    <t>Kamalasagar</t>
  </si>
  <si>
    <t>Narayan Chandra Chowdhury</t>
  </si>
  <si>
    <t>Antara Sarkar Deb</t>
  </si>
  <si>
    <t>Bishalgarh</t>
  </si>
  <si>
    <t>Bhanu Lal Saha</t>
  </si>
  <si>
    <t>Sushanta Deb</t>
  </si>
  <si>
    <t>Golaghati</t>
  </si>
  <si>
    <t>Birendra Kishore Debbarma</t>
  </si>
  <si>
    <t>Manab Debbarma</t>
  </si>
  <si>
    <t>Suryamaninagar</t>
  </si>
  <si>
    <t>Ram Prasad Paul</t>
  </si>
  <si>
    <t>Charilam</t>
  </si>
  <si>
    <t>Jishnu Dev Varma</t>
  </si>
  <si>
    <t>Subodh Deb Barma</t>
  </si>
  <si>
    <t>Boxanagar</t>
  </si>
  <si>
    <t>Sahid Chowdhury</t>
  </si>
  <si>
    <t>Samsul Haque</t>
  </si>
  <si>
    <t>Nalchar</t>
  </si>
  <si>
    <t>Subhash Chandra Das</t>
  </si>
  <si>
    <t>Kishor Barman</t>
  </si>
  <si>
    <t>Sonamura</t>
  </si>
  <si>
    <t>Shyamal Chakraborty</t>
  </si>
  <si>
    <t>Dhanpur</t>
  </si>
  <si>
    <t>Manik Sarkar</t>
  </si>
  <si>
    <t>Pratima Bhoumik</t>
  </si>
  <si>
    <t>Ramchandraghat</t>
  </si>
  <si>
    <t>Prasanta Debbarma</t>
  </si>
  <si>
    <t>Ranjit Debbarma</t>
  </si>
  <si>
    <t>Nirmal Biswas</t>
  </si>
  <si>
    <t>Asharambari</t>
  </si>
  <si>
    <t>Mevar Kumar Jamatia</t>
  </si>
  <si>
    <t>Animesh Debbarma</t>
  </si>
  <si>
    <t>Kalyanpur-Pramodnagar</t>
  </si>
  <si>
    <t>Pinaki Das Chowdhury</t>
  </si>
  <si>
    <t>Teliamura</t>
  </si>
  <si>
    <t>Kalyani Saha Roy</t>
  </si>
  <si>
    <t>Krishnapur</t>
  </si>
  <si>
    <t>Atul Debbarma</t>
  </si>
  <si>
    <t>Bikash Debbarma</t>
  </si>
  <si>
    <t>Bagma</t>
  </si>
  <si>
    <t>Ram Pada Jamatia</t>
  </si>
  <si>
    <t>Radhakishorpur</t>
  </si>
  <si>
    <t>Pranjit Singha Roy</t>
  </si>
  <si>
    <t>RSP</t>
  </si>
  <si>
    <t>Pranajit Singha Roy</t>
  </si>
  <si>
    <t>Matarbari</t>
  </si>
  <si>
    <t>Biplab Kumar Ghosh</t>
  </si>
  <si>
    <t>Abhishek Debroy</t>
  </si>
  <si>
    <t>Kakraban-Salgarh</t>
  </si>
  <si>
    <t>Ratan Kumar Bhowmik</t>
  </si>
  <si>
    <t>Jitendra Majumder</t>
  </si>
  <si>
    <t>Rajnagar</t>
  </si>
  <si>
    <t>Sudhan Das</t>
  </si>
  <si>
    <t>Swapna Majumder</t>
  </si>
  <si>
    <t>Belonia</t>
  </si>
  <si>
    <t>Arun Chandra Bhaumik</t>
  </si>
  <si>
    <t>Dipankar Sen</t>
  </si>
  <si>
    <t>Santirbazar</t>
  </si>
  <si>
    <t>Pramod Reang</t>
  </si>
  <si>
    <t>CPI</t>
  </si>
  <si>
    <t>Hrishyamukh</t>
  </si>
  <si>
    <t>Badal Chowdhury</t>
  </si>
  <si>
    <t>Asoke Chandra Mitra</t>
  </si>
  <si>
    <t>Jolaibari</t>
  </si>
  <si>
    <t>Jashabir Tripura</t>
  </si>
  <si>
    <t>Sukla Charan Noatia</t>
  </si>
  <si>
    <t>Manu</t>
  </si>
  <si>
    <t>Pravat Chowdhury</t>
  </si>
  <si>
    <t>Mailafru Mog</t>
  </si>
  <si>
    <t>Sabroom</t>
  </si>
  <si>
    <t>Sankar Roy</t>
  </si>
  <si>
    <t>Jitendra Chaudhury</t>
  </si>
  <si>
    <t>Ampinagar</t>
  </si>
  <si>
    <t>Sindhu Chandra Jamatia</t>
  </si>
  <si>
    <t>Pathan Lal Jamatia</t>
  </si>
  <si>
    <t>Amarpur</t>
  </si>
  <si>
    <t>Ranjit Das</t>
  </si>
  <si>
    <t>Karbook</t>
  </si>
  <si>
    <t>Burba Mohan Tripura</t>
  </si>
  <si>
    <t>Sanjoy Manik Tripura</t>
  </si>
  <si>
    <t>Raima Valley</t>
  </si>
  <si>
    <t>Dhananjoy Tripura</t>
  </si>
  <si>
    <t>Nandita Debbarma</t>
  </si>
  <si>
    <t>Kamalpur</t>
  </si>
  <si>
    <t>Manoj Kanti Deb</t>
  </si>
  <si>
    <t>Surma</t>
  </si>
  <si>
    <t>Ashis Das</t>
  </si>
  <si>
    <t>Swapna Das Paul</t>
  </si>
  <si>
    <t>Ambassa</t>
  </si>
  <si>
    <t>Parimal Debbarma</t>
  </si>
  <si>
    <t>Chittaranjan Debbarma</t>
  </si>
  <si>
    <t>Karamcherra</t>
  </si>
  <si>
    <t>Diba Chandra Hrangkhawl</t>
  </si>
  <si>
    <t>Paul Dangshu</t>
  </si>
  <si>
    <t>Chawamanu</t>
  </si>
  <si>
    <t>Sambhu Lal Chakma</t>
  </si>
  <si>
    <t>Pabiachhara</t>
  </si>
  <si>
    <t>Bhagaban Das</t>
  </si>
  <si>
    <t>Fatikroy</t>
  </si>
  <si>
    <t>Sudhangshu Das</t>
  </si>
  <si>
    <t>Chandipur</t>
  </si>
  <si>
    <t>Tapan Chakraborty</t>
  </si>
  <si>
    <t>Tinku Roy</t>
  </si>
  <si>
    <t>Kailashahar</t>
  </si>
  <si>
    <t>Moboshar Ali</t>
  </si>
  <si>
    <t>Birajit Sinha</t>
  </si>
  <si>
    <t>Kadamtala-Kurti</t>
  </si>
  <si>
    <t>Islam Uddin</t>
  </si>
  <si>
    <t>Bagbassa</t>
  </si>
  <si>
    <t>Bijita Nath</t>
  </si>
  <si>
    <t>Jadab Lal Debnath</t>
  </si>
  <si>
    <t>Dharmanagar</t>
  </si>
  <si>
    <t>Biswa Bandhu Sen</t>
  </si>
  <si>
    <t>Jubarajnagar</t>
  </si>
  <si>
    <t>Ramendra Chandra Debnath</t>
  </si>
  <si>
    <t>Sailendra Chandra Nath</t>
  </si>
  <si>
    <t>Panisagar</t>
  </si>
  <si>
    <t>Binay Bhushan Das</t>
  </si>
  <si>
    <t>Pencharthal</t>
  </si>
  <si>
    <t>Santana Chakma</t>
  </si>
  <si>
    <t>Kanchanpur</t>
  </si>
  <si>
    <t>Prem Kumar Reang</t>
  </si>
  <si>
    <t>Philip Kumar Reang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</si>
</sst>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;\-0;0"/>
    <numFmt numFmtId="165" formatCode="0.0%"/>
    <numFmt numFmtId="166" formatCode="\+0.00;\-0.00;0.0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55A11"/>
        <bgColor rgb="FFC0504D"/>
      </patternFill>
    </fill>
    <fill>
      <patternFill patternType="solid">
        <fgColor rgb="FF548235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4" fontId="3" fillId="0" borderId="1" xfId="0" applyNumberFormat="1" applyFont="1" applyBorder="1"/>
    <xf numFmtId="9" fontId="4" fillId="0" borderId="1" xfId="0" applyNumberFormat="1" applyFont="1" applyBorder="1"/>
    <xf numFmtId="0" fontId="7" fillId="0" borderId="0" xfId="0" applyFont="1"/>
    <xf numFmtId="165" fontId="4" fillId="0" borderId="1" xfId="0" applyNumberFormat="1" applyFont="1" applyBorder="1"/>
    <xf numFmtId="3" fontId="4" fillId="0" borderId="1" xfId="0" applyNumberFormat="1" applyFont="1" applyBorder="1"/>
    <xf numFmtId="2" fontId="8" fillId="0" borderId="1" xfId="0" applyNumberFormat="1" applyFont="1" applyBorder="1"/>
    <xf numFmtId="166" fontId="4" fillId="0" borderId="1" xfId="0" applyNumberFormat="1" applyFont="1" applyBorder="1"/>
    <xf numFmtId="0" fontId="3" fillId="0" borderId="0" xfId="0" applyFont="1"/>
    <xf numFmtId="2" fontId="4" fillId="0" borderId="1" xfId="0" applyNumberFormat="1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Seats won by party: 2018 vs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Seats 2018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Analysis!$A$5:$A$9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Analysis!$B$5:$B$9</c:f>
              <c:numCache>
                <c:formatCode>General</c:formatCode>
                <c:ptCount val="5"/>
                <c:pt idx="0">
                  <c:v>36</c:v>
                </c:pt>
                <c:pt idx="1">
                  <c:v>8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A-47D7-BA19-CBDC4D358FED}"/>
            </c:ext>
          </c:extLst>
        </c:ser>
        <c:ser>
          <c:idx val="1"/>
          <c:order val="1"/>
          <c:tx>
            <c:strRef>
              <c:f>Analysis!$C$4</c:f>
              <c:strCache>
                <c:ptCount val="1"/>
                <c:pt idx="0">
                  <c:v>Seats 2023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Analysis!$A$5:$A$9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Analysis!$C$5:$C$9</c:f>
              <c:numCache>
                <c:formatCode>General</c:formatCode>
                <c:ptCount val="5"/>
                <c:pt idx="0">
                  <c:v>32</c:v>
                </c:pt>
                <c:pt idx="1">
                  <c:v>1</c:v>
                </c:pt>
                <c:pt idx="2">
                  <c:v>11</c:v>
                </c:pt>
                <c:pt idx="3">
                  <c:v>3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A-47D7-BA19-CBDC4D35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6484"/>
        <c:axId val="23437288"/>
      </c:barChart>
      <c:catAx>
        <c:axId val="1366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437288"/>
        <c:crosses val="autoZero"/>
        <c:auto val="1"/>
        <c:lblAlgn val="ctr"/>
        <c:lblOffset val="100"/>
        <c:noMultiLvlLbl val="0"/>
      </c:catAx>
      <c:valAx>
        <c:axId val="23437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6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Statewide vote share by party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Analysis!$B$72</c:f>
              <c:strCache>
                <c:ptCount val="1"/>
                <c:pt idx="0">
                  <c:v>2018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Analysis!$A$73:$A$77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Analysis!$B$73:$B$77</c:f>
              <c:numCache>
                <c:formatCode>0.00</c:formatCode>
                <c:ptCount val="5"/>
                <c:pt idx="0">
                  <c:v>43.59</c:v>
                </c:pt>
                <c:pt idx="1">
                  <c:v>7.38</c:v>
                </c:pt>
                <c:pt idx="2">
                  <c:v>42.22</c:v>
                </c:pt>
                <c:pt idx="3">
                  <c:v>1.79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CA0-912A-871808281030}"/>
            </c:ext>
          </c:extLst>
        </c:ser>
        <c:ser>
          <c:idx val="1"/>
          <c:order val="1"/>
          <c:tx>
            <c:strRef>
              <c:f>Analysis!$C$72</c:f>
              <c:strCache>
                <c:ptCount val="1"/>
                <c:pt idx="0">
                  <c:v>2023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Analysis!$A$73:$A$77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Analysis!$C$73:$C$77</c:f>
              <c:numCache>
                <c:formatCode>0.00</c:formatCode>
                <c:ptCount val="5"/>
                <c:pt idx="0">
                  <c:v>38.97</c:v>
                </c:pt>
                <c:pt idx="1">
                  <c:v>1.26</c:v>
                </c:pt>
                <c:pt idx="2">
                  <c:v>24.62</c:v>
                </c:pt>
                <c:pt idx="3">
                  <c:v>8.56</c:v>
                </c:pt>
                <c:pt idx="4">
                  <c:v>19.690000000000001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A-4CA0-912A-87180828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5648"/>
        <c:axId val="41579992"/>
      </c:barChart>
      <c:catAx>
        <c:axId val="212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79992"/>
        <c:crosses val="autoZero"/>
        <c:auto val="1"/>
        <c:lblAlgn val="ctr"/>
        <c:lblOffset val="100"/>
        <c:noMultiLvlLbl val="0"/>
      </c:catAx>
      <c:valAx>
        <c:axId val="41579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Vote 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55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ST-reserved seats (20) by party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Analysis!$B$35</c:f>
              <c:strCache>
                <c:ptCount val="1"/>
                <c:pt idx="0">
                  <c:v>ST seats 2018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Analysis!$A$36:$A$40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Analysis!$B$36:$B$40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F-4DA9-8FFE-FFEB16D78652}"/>
            </c:ext>
          </c:extLst>
        </c:ser>
        <c:ser>
          <c:idx val="1"/>
          <c:order val="1"/>
          <c:tx>
            <c:strRef>
              <c:f>Analysis!$C$35</c:f>
              <c:strCache>
                <c:ptCount val="1"/>
                <c:pt idx="0">
                  <c:v>ST seats 2023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Analysis!$A$36:$A$40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Analysis!$C$36:$C$40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F-4DA9-8FFE-FFEB16D7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692687"/>
        <c:axId val="63489626"/>
      </c:barChart>
      <c:catAx>
        <c:axId val="7469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89626"/>
        <c:crosses val="autoZero"/>
        <c:auto val="1"/>
        <c:lblAlgn val="ctr"/>
        <c:lblOffset val="100"/>
        <c:noMultiLvlLbl val="0"/>
      </c:catAx>
      <c:valAx>
        <c:axId val="63489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92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160560</xdr:rowOff>
    </xdr:from>
    <xdr:to>
      <xdr:col>20</xdr:col>
      <xdr:colOff>507600</xdr:colOff>
      <xdr:row>13</xdr:row>
      <xdr:rowOff>155160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17</xdr:row>
      <xdr:rowOff>160560</xdr:rowOff>
    </xdr:from>
    <xdr:to>
      <xdr:col>20</xdr:col>
      <xdr:colOff>507600</xdr:colOff>
      <xdr:row>30</xdr:row>
      <xdr:rowOff>174240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33</xdr:row>
      <xdr:rowOff>160560</xdr:rowOff>
    </xdr:from>
    <xdr:to>
      <xdr:col>20</xdr:col>
      <xdr:colOff>507600</xdr:colOff>
      <xdr:row>45</xdr:row>
      <xdr:rowOff>155160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showGridLines="0" tabSelected="1" zoomScaleNormal="100" workbookViewId="0"/>
  </sheetViews>
  <sheetFormatPr defaultColWidth="8.6640625" defaultRowHeight="14.4" x14ac:dyDescent="0.3"/>
  <cols>
    <col min="1" max="1" width="26" customWidth="1"/>
    <col min="2" max="11" width="13" customWidth="1"/>
  </cols>
  <sheetData>
    <row r="1" spans="1:1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ht="31.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2"/>
      <c r="F4" s="2"/>
      <c r="G4" s="2"/>
      <c r="H4" s="2"/>
      <c r="I4" s="2"/>
      <c r="J4" s="2"/>
    </row>
    <row r="5" spans="1:10" x14ac:dyDescent="0.3">
      <c r="A5" s="5" t="s">
        <v>6</v>
      </c>
      <c r="B5" s="6">
        <f>COUNTIF(Data!$F$2:$F$61,A5)</f>
        <v>36</v>
      </c>
      <c r="C5" s="6">
        <f>COUNTIF(Data!$M$2:$M$61,A5)</f>
        <v>32</v>
      </c>
      <c r="D5" s="7">
        <f t="shared" ref="D5:D10" si="0">C5-B5</f>
        <v>-4</v>
      </c>
      <c r="E5" s="2"/>
      <c r="F5" s="2"/>
      <c r="G5" s="2"/>
      <c r="H5" s="2"/>
      <c r="I5" s="2"/>
      <c r="J5" s="2"/>
    </row>
    <row r="6" spans="1:10" x14ac:dyDescent="0.3">
      <c r="A6" s="5" t="s">
        <v>7</v>
      </c>
      <c r="B6" s="6">
        <f>COUNTIF(Data!$F$2:$F$61,A6)</f>
        <v>8</v>
      </c>
      <c r="C6" s="6">
        <f>COUNTIF(Data!$M$2:$M$61,A6)</f>
        <v>1</v>
      </c>
      <c r="D6" s="7">
        <f t="shared" si="0"/>
        <v>-7</v>
      </c>
      <c r="E6" s="2"/>
      <c r="F6" s="2"/>
      <c r="G6" s="2"/>
      <c r="H6" s="2"/>
      <c r="I6" s="2"/>
      <c r="J6" s="2"/>
    </row>
    <row r="7" spans="1:10" x14ac:dyDescent="0.3">
      <c r="A7" s="5" t="s">
        <v>8</v>
      </c>
      <c r="B7" s="6">
        <f>COUNTIF(Data!$F$2:$F$61,A7)</f>
        <v>16</v>
      </c>
      <c r="C7" s="6">
        <f>COUNTIF(Data!$M$2:$M$61,A7)</f>
        <v>11</v>
      </c>
      <c r="D7" s="7">
        <f t="shared" si="0"/>
        <v>-5</v>
      </c>
      <c r="E7" s="2"/>
      <c r="F7" s="2"/>
      <c r="G7" s="2"/>
      <c r="H7" s="2"/>
      <c r="I7" s="2"/>
      <c r="J7" s="2"/>
    </row>
    <row r="8" spans="1:10" x14ac:dyDescent="0.3">
      <c r="A8" s="5" t="s">
        <v>9</v>
      </c>
      <c r="B8" s="6">
        <f>COUNTIF(Data!$F$2:$F$61,A8)</f>
        <v>0</v>
      </c>
      <c r="C8" s="6">
        <f>COUNTIF(Data!$M$2:$M$61,A8)</f>
        <v>3</v>
      </c>
      <c r="D8" s="7">
        <f t="shared" si="0"/>
        <v>3</v>
      </c>
      <c r="E8" s="2"/>
      <c r="F8" s="2"/>
      <c r="G8" s="2"/>
      <c r="H8" s="2"/>
      <c r="I8" s="2"/>
      <c r="J8" s="2"/>
    </row>
    <row r="9" spans="1:10" x14ac:dyDescent="0.3">
      <c r="A9" s="5" t="s">
        <v>10</v>
      </c>
      <c r="B9" s="6">
        <f>COUNTIF(Data!$F$2:$F$61,A9)</f>
        <v>0</v>
      </c>
      <c r="C9" s="6">
        <f>COUNTIF(Data!$M$2:$M$61,A9)</f>
        <v>13</v>
      </c>
      <c r="D9" s="7">
        <f t="shared" si="0"/>
        <v>13</v>
      </c>
      <c r="E9" s="2"/>
      <c r="F9" s="2"/>
      <c r="G9" s="2"/>
      <c r="H9" s="2"/>
      <c r="I9" s="2"/>
      <c r="J9" s="2"/>
    </row>
    <row r="10" spans="1:10" x14ac:dyDescent="0.3">
      <c r="A10" s="5" t="s">
        <v>11</v>
      </c>
      <c r="B10" s="5">
        <f>SUM(B5:B9)</f>
        <v>60</v>
      </c>
      <c r="C10" s="5">
        <f>SUM(C5:C9)</f>
        <v>60</v>
      </c>
      <c r="D10" s="8">
        <f t="shared" si="0"/>
        <v>0</v>
      </c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3" t="s">
        <v>12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1.5" customHeight="1" x14ac:dyDescent="0.3">
      <c r="A13" s="4" t="s">
        <v>13</v>
      </c>
      <c r="B13" s="4" t="s">
        <v>14</v>
      </c>
      <c r="C13" s="4" t="s">
        <v>15</v>
      </c>
      <c r="D13" s="2"/>
      <c r="E13" s="2"/>
      <c r="F13" s="2"/>
      <c r="G13" s="2"/>
      <c r="H13" s="2"/>
      <c r="I13" s="2"/>
      <c r="J13" s="2"/>
    </row>
    <row r="14" spans="1:10" x14ac:dyDescent="0.3">
      <c r="A14" s="6" t="s">
        <v>16</v>
      </c>
      <c r="B14" s="6">
        <f>COUNTIF(Data!$U$2:$U$61,"Yes")</f>
        <v>30</v>
      </c>
      <c r="C14" s="9">
        <f>B14/60</f>
        <v>0.5</v>
      </c>
      <c r="D14" s="2"/>
      <c r="E14" s="2"/>
      <c r="F14" s="2"/>
      <c r="G14" s="2"/>
      <c r="H14" s="2"/>
      <c r="I14" s="2"/>
      <c r="J14" s="2"/>
    </row>
    <row r="15" spans="1:10" x14ac:dyDescent="0.3">
      <c r="A15" s="6" t="s">
        <v>17</v>
      </c>
      <c r="B15" s="6">
        <f>COUNTIF(Data!$U$2:$U$61,"No")</f>
        <v>30</v>
      </c>
      <c r="C15" s="9">
        <f>B15/60</f>
        <v>0.5</v>
      </c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31.5" customHeight="1" x14ac:dyDescent="0.3">
      <c r="A17" s="4" t="s">
        <v>18</v>
      </c>
      <c r="B17" s="4" t="s">
        <v>19</v>
      </c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6" t="s">
        <v>20</v>
      </c>
      <c r="B18" s="6">
        <f>COUNTIF(Data!$V$2:$V$61,A18)</f>
        <v>8</v>
      </c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6" t="s">
        <v>21</v>
      </c>
      <c r="B19" s="6">
        <f>COUNTIF(Data!$V$2:$V$61,A19)</f>
        <v>8</v>
      </c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6" t="s">
        <v>22</v>
      </c>
      <c r="B20" s="6">
        <f>COUNTIF(Data!$V$2:$V$61,A20)</f>
        <v>5</v>
      </c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6" t="s">
        <v>23</v>
      </c>
      <c r="B21" s="6">
        <f>COUNTIF(Data!$V$2:$V$61,A21)</f>
        <v>5</v>
      </c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6" t="s">
        <v>24</v>
      </c>
      <c r="B22" s="6">
        <f>COUNTIF(Data!$V$2:$V$61,A22)</f>
        <v>2</v>
      </c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6" t="s">
        <v>25</v>
      </c>
      <c r="B23" s="6">
        <f>COUNTIF(Data!$V$2:$V$61,A23)</f>
        <v>1</v>
      </c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6" t="s">
        <v>26</v>
      </c>
      <c r="B24" s="6">
        <f>COUNTIF(Data!$V$2:$V$61,A24)</f>
        <v>1</v>
      </c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5" t="s">
        <v>27</v>
      </c>
      <c r="B25" s="5">
        <f>SUM(B18:B24)</f>
        <v>30</v>
      </c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3" t="s">
        <v>28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31.5" customHeight="1" x14ac:dyDescent="0.3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 t="s">
        <v>35</v>
      </c>
      <c r="H28" s="4" t="s">
        <v>36</v>
      </c>
      <c r="I28" s="4" t="s">
        <v>37</v>
      </c>
      <c r="J28" s="4" t="s">
        <v>19</v>
      </c>
    </row>
    <row r="29" spans="1:10" x14ac:dyDescent="0.3">
      <c r="A29" s="5" t="s">
        <v>38</v>
      </c>
      <c r="B29" s="6">
        <f>COUNTIFS(Data!$D$2:$D$61,$A29,Data!$F$2:$F$61,"BJP")</f>
        <v>18</v>
      </c>
      <c r="C29" s="6">
        <f>COUNTIFS(Data!$D$2:$D$61,$A29,Data!$M$2:$M$61,"BJP")</f>
        <v>19</v>
      </c>
      <c r="D29" s="6">
        <f>COUNTIFS(Data!$D$2:$D$61,$A29,Data!$F$2:$F$61,"IPFT")</f>
        <v>0</v>
      </c>
      <c r="E29" s="6">
        <f>COUNTIFS(Data!$D$2:$D$61,$A29,Data!$M$2:$M$61,"IPFT")</f>
        <v>0</v>
      </c>
      <c r="F29" s="6">
        <f>COUNTIFS(Data!$D$2:$D$61,$A29,Data!$F$2:$F$61,"CPI(M)")</f>
        <v>12</v>
      </c>
      <c r="G29" s="6">
        <f>COUNTIFS(Data!$D$2:$D$61,$A29,Data!$M$2:$M$61,"CPI(M)")</f>
        <v>8</v>
      </c>
      <c r="H29" s="6">
        <f>COUNTIFS(Data!$D$2:$D$61,$A29,Data!$M$2:$M$61,"INC")</f>
        <v>3</v>
      </c>
      <c r="I29" s="6">
        <f>COUNTIFS(Data!$D$2:$D$61,$A29,Data!$M$2:$M$61,"TMP")</f>
        <v>0</v>
      </c>
      <c r="J29" s="6">
        <f>COUNTIF(Data!$D$2:$D$61,$A29)</f>
        <v>30</v>
      </c>
    </row>
    <row r="30" spans="1:10" x14ac:dyDescent="0.3">
      <c r="A30" s="5" t="s">
        <v>39</v>
      </c>
      <c r="B30" s="6">
        <f>COUNTIFS(Data!$D$2:$D$61,$A30,Data!$F$2:$F$61,"BJP")</f>
        <v>8</v>
      </c>
      <c r="C30" s="6">
        <f>COUNTIFS(Data!$D$2:$D$61,$A30,Data!$M$2:$M$61,"BJP")</f>
        <v>7</v>
      </c>
      <c r="D30" s="6">
        <f>COUNTIFS(Data!$D$2:$D$61,$A30,Data!$F$2:$F$61,"IPFT")</f>
        <v>0</v>
      </c>
      <c r="E30" s="6">
        <f>COUNTIFS(Data!$D$2:$D$61,$A30,Data!$M$2:$M$61,"IPFT")</f>
        <v>0</v>
      </c>
      <c r="F30" s="6">
        <f>COUNTIFS(Data!$D$2:$D$61,$A30,Data!$F$2:$F$61,"CPI(M)")</f>
        <v>2</v>
      </c>
      <c r="G30" s="6">
        <f>COUNTIFS(Data!$D$2:$D$61,$A30,Data!$M$2:$M$61,"CPI(M)")</f>
        <v>3</v>
      </c>
      <c r="H30" s="6">
        <f>COUNTIFS(Data!$D$2:$D$61,$A30,Data!$M$2:$M$61,"INC")</f>
        <v>0</v>
      </c>
      <c r="I30" s="6">
        <f>COUNTIFS(Data!$D$2:$D$61,$A30,Data!$M$2:$M$61,"TMP")</f>
        <v>0</v>
      </c>
      <c r="J30" s="6">
        <f>COUNTIF(Data!$D$2:$D$61,$A30)</f>
        <v>10</v>
      </c>
    </row>
    <row r="31" spans="1:10" x14ac:dyDescent="0.3">
      <c r="A31" s="5" t="s">
        <v>40</v>
      </c>
      <c r="B31" s="6">
        <f>COUNTIFS(Data!$D$2:$D$61,$A31,Data!$F$2:$F$61,"BJP")</f>
        <v>10</v>
      </c>
      <c r="C31" s="6">
        <f>COUNTIFS(Data!$D$2:$D$61,$A31,Data!$M$2:$M$61,"BJP")</f>
        <v>6</v>
      </c>
      <c r="D31" s="6">
        <f>COUNTIFS(Data!$D$2:$D$61,$A31,Data!$F$2:$F$61,"IPFT")</f>
        <v>8</v>
      </c>
      <c r="E31" s="6">
        <f>COUNTIFS(Data!$D$2:$D$61,$A31,Data!$M$2:$M$61,"IPFT")</f>
        <v>1</v>
      </c>
      <c r="F31" s="6">
        <f>COUNTIFS(Data!$D$2:$D$61,$A31,Data!$F$2:$F$61,"CPI(M)")</f>
        <v>2</v>
      </c>
      <c r="G31" s="6">
        <f>COUNTIFS(Data!$D$2:$D$61,$A31,Data!$M$2:$M$61,"CPI(M)")</f>
        <v>0</v>
      </c>
      <c r="H31" s="6">
        <f>COUNTIFS(Data!$D$2:$D$61,$A31,Data!$M$2:$M$61,"INC")</f>
        <v>0</v>
      </c>
      <c r="I31" s="6">
        <f>COUNTIFS(Data!$D$2:$D$61,$A31,Data!$M$2:$M$61,"TMP")</f>
        <v>13</v>
      </c>
      <c r="J31" s="6">
        <f>COUNTIF(Data!$D$2:$D$61,$A31)</f>
        <v>20</v>
      </c>
    </row>
    <row r="32" spans="1:10" x14ac:dyDescent="0.3">
      <c r="A32" s="10" t="s">
        <v>41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3" t="s">
        <v>42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ht="31.5" customHeight="1" x14ac:dyDescent="0.3">
      <c r="A35" s="4" t="s">
        <v>2</v>
      </c>
      <c r="B35" s="4" t="s">
        <v>43</v>
      </c>
      <c r="C35" s="4" t="s">
        <v>44</v>
      </c>
      <c r="D35" s="2"/>
      <c r="E35" s="2"/>
      <c r="F35" s="2"/>
      <c r="G35" s="2"/>
      <c r="H35" s="2"/>
      <c r="I35" s="2"/>
      <c r="J35" s="2"/>
    </row>
    <row r="36" spans="1:10" x14ac:dyDescent="0.3">
      <c r="A36" s="5" t="s">
        <v>6</v>
      </c>
      <c r="B36" s="6">
        <f>COUNTIFS(Data!$D$2:$D$61,"ST",Data!$F$2:$F$61,A36)</f>
        <v>10</v>
      </c>
      <c r="C36" s="6">
        <f>COUNTIFS(Data!$D$2:$D$61,"ST",Data!$M$2:$M$61,A36)</f>
        <v>6</v>
      </c>
      <c r="D36" s="2"/>
      <c r="E36" s="2"/>
      <c r="F36" s="2"/>
      <c r="G36" s="2"/>
      <c r="H36" s="2"/>
      <c r="I36" s="2"/>
      <c r="J36" s="2"/>
    </row>
    <row r="37" spans="1:10" x14ac:dyDescent="0.3">
      <c r="A37" s="5" t="s">
        <v>7</v>
      </c>
      <c r="B37" s="6">
        <f>COUNTIFS(Data!$D$2:$D$61,"ST",Data!$F$2:$F$61,A37)</f>
        <v>8</v>
      </c>
      <c r="C37" s="6">
        <f>COUNTIFS(Data!$D$2:$D$61,"ST",Data!$M$2:$M$61,A37)</f>
        <v>1</v>
      </c>
      <c r="D37" s="2"/>
      <c r="E37" s="2"/>
      <c r="F37" s="2"/>
      <c r="G37" s="2"/>
      <c r="H37" s="2"/>
      <c r="I37" s="2"/>
      <c r="J37" s="2"/>
    </row>
    <row r="38" spans="1:10" x14ac:dyDescent="0.3">
      <c r="A38" s="5" t="s">
        <v>8</v>
      </c>
      <c r="B38" s="6">
        <f>COUNTIFS(Data!$D$2:$D$61,"ST",Data!$F$2:$F$61,A38)</f>
        <v>2</v>
      </c>
      <c r="C38" s="6">
        <f>COUNTIFS(Data!$D$2:$D$61,"ST",Data!$M$2:$M$61,A38)</f>
        <v>0</v>
      </c>
      <c r="D38" s="2"/>
      <c r="E38" s="2"/>
      <c r="F38" s="2"/>
      <c r="G38" s="2"/>
      <c r="H38" s="2"/>
      <c r="I38" s="2"/>
      <c r="J38" s="2"/>
    </row>
    <row r="39" spans="1:10" x14ac:dyDescent="0.3">
      <c r="A39" s="5" t="s">
        <v>9</v>
      </c>
      <c r="B39" s="6">
        <f>COUNTIFS(Data!$D$2:$D$61,"ST",Data!$F$2:$F$61,A39)</f>
        <v>0</v>
      </c>
      <c r="C39" s="6">
        <f>COUNTIFS(Data!$D$2:$D$61,"ST",Data!$M$2:$M$61,A39)</f>
        <v>0</v>
      </c>
      <c r="D39" s="2"/>
      <c r="E39" s="2"/>
      <c r="F39" s="2"/>
      <c r="G39" s="2"/>
      <c r="H39" s="2"/>
      <c r="I39" s="2"/>
      <c r="J39" s="2"/>
    </row>
    <row r="40" spans="1:10" x14ac:dyDescent="0.3">
      <c r="A40" s="5" t="s">
        <v>10</v>
      </c>
      <c r="B40" s="6">
        <f>COUNTIFS(Data!$D$2:$D$61,"ST",Data!$F$2:$F$61,A40)</f>
        <v>0</v>
      </c>
      <c r="C40" s="6">
        <f>COUNTIFS(Data!$D$2:$D$61,"ST",Data!$M$2:$M$61,A40)</f>
        <v>13</v>
      </c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3" t="s">
        <v>45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ht="31.5" customHeight="1" x14ac:dyDescent="0.3">
      <c r="A43" s="4" t="s">
        <v>46</v>
      </c>
      <c r="B43" s="4" t="s">
        <v>19</v>
      </c>
      <c r="C43" s="4" t="s">
        <v>30</v>
      </c>
      <c r="D43" s="4" t="s">
        <v>31</v>
      </c>
      <c r="E43" s="4" t="s">
        <v>32</v>
      </c>
      <c r="F43" s="4" t="s">
        <v>33</v>
      </c>
      <c r="G43" s="4" t="s">
        <v>34</v>
      </c>
      <c r="H43" s="4" t="s">
        <v>35</v>
      </c>
      <c r="I43" s="4" t="s">
        <v>36</v>
      </c>
      <c r="J43" s="4" t="s">
        <v>37</v>
      </c>
    </row>
    <row r="44" spans="1:10" x14ac:dyDescent="0.3">
      <c r="A44" s="5" t="s">
        <v>47</v>
      </c>
      <c r="B44" s="6">
        <f>COUNTIF(Data!$C$2:$C$61,$A44)</f>
        <v>14</v>
      </c>
      <c r="C44" s="6">
        <f>COUNTIFS(Data!$C$2:$C$61,$A44,Data!$F$2:$F$61,"BJP")</f>
        <v>12</v>
      </c>
      <c r="D44" s="6">
        <f>COUNTIFS(Data!$C$2:$C$61,$A44,Data!$M$2:$M$61,"BJP")</f>
        <v>7</v>
      </c>
      <c r="E44" s="6">
        <f>COUNTIFS(Data!$C$2:$C$61,$A44,Data!$F$2:$F$61,"IPFT")</f>
        <v>2</v>
      </c>
      <c r="F44" s="6">
        <f>COUNTIFS(Data!$C$2:$C$61,$A44,Data!$M$2:$M$61,"IPFT")</f>
        <v>0</v>
      </c>
      <c r="G44" s="6">
        <f>COUNTIFS(Data!$C$2:$C$61,$A44,Data!$F$2:$F$61,"CPI(M)")</f>
        <v>0</v>
      </c>
      <c r="H44" s="6">
        <f>COUNTIFS(Data!$C$2:$C$61,$A44,Data!$M$2:$M$61,"CPI(M)")</f>
        <v>3</v>
      </c>
      <c r="I44" s="6">
        <f>COUNTIFS(Data!$C$2:$C$61,$A44,Data!$M$2:$M$61,"INC")</f>
        <v>2</v>
      </c>
      <c r="J44" s="6">
        <f>COUNTIFS(Data!$C$2:$C$61,$A44,Data!$M$2:$M$61,"TMP")</f>
        <v>2</v>
      </c>
    </row>
    <row r="45" spans="1:10" x14ac:dyDescent="0.3">
      <c r="A45" s="5" t="s">
        <v>48</v>
      </c>
      <c r="B45" s="6">
        <f>COUNTIF(Data!$C$2:$C$61,$A45)</f>
        <v>9</v>
      </c>
      <c r="C45" s="6">
        <f>COUNTIFS(Data!$C$2:$C$61,$A45,Data!$F$2:$F$61,"BJP")</f>
        <v>3</v>
      </c>
      <c r="D45" s="6">
        <f>COUNTIFS(Data!$C$2:$C$61,$A45,Data!$M$2:$M$61,"BJP")</f>
        <v>4</v>
      </c>
      <c r="E45" s="6">
        <f>COUNTIFS(Data!$C$2:$C$61,$A45,Data!$F$2:$F$61,"IPFT")</f>
        <v>1</v>
      </c>
      <c r="F45" s="6">
        <f>COUNTIFS(Data!$C$2:$C$61,$A45,Data!$M$2:$M$61,"IPFT")</f>
        <v>0</v>
      </c>
      <c r="G45" s="6">
        <f>COUNTIFS(Data!$C$2:$C$61,$A45,Data!$F$2:$F$61,"CPI(M)")</f>
        <v>5</v>
      </c>
      <c r="H45" s="6">
        <f>COUNTIFS(Data!$C$2:$C$61,$A45,Data!$M$2:$M$61,"CPI(M)")</f>
        <v>2</v>
      </c>
      <c r="I45" s="6">
        <f>COUNTIFS(Data!$C$2:$C$61,$A45,Data!$M$2:$M$61,"INC")</f>
        <v>0</v>
      </c>
      <c r="J45" s="6">
        <f>COUNTIFS(Data!$C$2:$C$61,$A45,Data!$M$2:$M$61,"TMP")</f>
        <v>3</v>
      </c>
    </row>
    <row r="46" spans="1:10" x14ac:dyDescent="0.3">
      <c r="A46" s="5" t="s">
        <v>49</v>
      </c>
      <c r="B46" s="6">
        <f>COUNTIF(Data!$C$2:$C$61,$A46)</f>
        <v>6</v>
      </c>
      <c r="C46" s="6">
        <f>COUNTIFS(Data!$C$2:$C$61,$A46,Data!$F$2:$F$61,"BJP")</f>
        <v>3</v>
      </c>
      <c r="D46" s="6">
        <f>COUNTIFS(Data!$C$2:$C$61,$A46,Data!$M$2:$M$61,"BJP")</f>
        <v>3</v>
      </c>
      <c r="E46" s="6">
        <f>COUNTIFS(Data!$C$2:$C$61,$A46,Data!$F$2:$F$61,"IPFT")</f>
        <v>2</v>
      </c>
      <c r="F46" s="6">
        <f>COUNTIFS(Data!$C$2:$C$61,$A46,Data!$M$2:$M$61,"IPFT")</f>
        <v>0</v>
      </c>
      <c r="G46" s="6">
        <f>COUNTIFS(Data!$C$2:$C$61,$A46,Data!$F$2:$F$61,"CPI(M)")</f>
        <v>1</v>
      </c>
      <c r="H46" s="6">
        <f>COUNTIFS(Data!$C$2:$C$61,$A46,Data!$M$2:$M$61,"CPI(M)")</f>
        <v>1</v>
      </c>
      <c r="I46" s="6">
        <f>COUNTIFS(Data!$C$2:$C$61,$A46,Data!$M$2:$M$61,"INC")</f>
        <v>0</v>
      </c>
      <c r="J46" s="6">
        <f>COUNTIFS(Data!$C$2:$C$61,$A46,Data!$M$2:$M$61,"TMP")</f>
        <v>2</v>
      </c>
    </row>
    <row r="47" spans="1:10" x14ac:dyDescent="0.3">
      <c r="A47" s="5" t="s">
        <v>50</v>
      </c>
      <c r="B47" s="6">
        <f>COUNTIF(Data!$C$2:$C$61,$A47)</f>
        <v>7</v>
      </c>
      <c r="C47" s="6">
        <f>COUNTIFS(Data!$C$2:$C$61,$A47,Data!$F$2:$F$61,"BJP")</f>
        <v>5</v>
      </c>
      <c r="D47" s="6">
        <f>COUNTIFS(Data!$C$2:$C$61,$A47,Data!$M$2:$M$61,"BJP")</f>
        <v>5</v>
      </c>
      <c r="E47" s="6">
        <f>COUNTIFS(Data!$C$2:$C$61,$A47,Data!$F$2:$F$61,"IPFT")</f>
        <v>1</v>
      </c>
      <c r="F47" s="6">
        <f>COUNTIFS(Data!$C$2:$C$61,$A47,Data!$M$2:$M$61,"IPFT")</f>
        <v>0</v>
      </c>
      <c r="G47" s="6">
        <f>COUNTIFS(Data!$C$2:$C$61,$A47,Data!$F$2:$F$61,"CPI(M)")</f>
        <v>1</v>
      </c>
      <c r="H47" s="6">
        <f>COUNTIFS(Data!$C$2:$C$61,$A47,Data!$M$2:$M$61,"CPI(M)")</f>
        <v>0</v>
      </c>
      <c r="I47" s="6">
        <f>COUNTIFS(Data!$C$2:$C$61,$A47,Data!$M$2:$M$61,"INC")</f>
        <v>0</v>
      </c>
      <c r="J47" s="6">
        <f>COUNTIFS(Data!$C$2:$C$61,$A47,Data!$M$2:$M$61,"TMP")</f>
        <v>2</v>
      </c>
    </row>
    <row r="48" spans="1:10" x14ac:dyDescent="0.3">
      <c r="A48" s="5" t="s">
        <v>51</v>
      </c>
      <c r="B48" s="6">
        <f>COUNTIF(Data!$C$2:$C$61,$A48)</f>
        <v>7</v>
      </c>
      <c r="C48" s="6">
        <f>COUNTIFS(Data!$C$2:$C$61,$A48,Data!$F$2:$F$61,"BJP")</f>
        <v>3</v>
      </c>
      <c r="D48" s="6">
        <f>COUNTIFS(Data!$C$2:$C$61,$A48,Data!$M$2:$M$61,"BJP")</f>
        <v>3</v>
      </c>
      <c r="E48" s="6">
        <f>COUNTIFS(Data!$C$2:$C$61,$A48,Data!$F$2:$F$61,"IPFT")</f>
        <v>0</v>
      </c>
      <c r="F48" s="6">
        <f>COUNTIFS(Data!$C$2:$C$61,$A48,Data!$M$2:$M$61,"IPFT")</f>
        <v>1</v>
      </c>
      <c r="G48" s="6">
        <f>COUNTIFS(Data!$C$2:$C$61,$A48,Data!$F$2:$F$61,"CPI(M)")</f>
        <v>4</v>
      </c>
      <c r="H48" s="6">
        <f>COUNTIFS(Data!$C$2:$C$61,$A48,Data!$M$2:$M$61,"CPI(M)")</f>
        <v>3</v>
      </c>
      <c r="I48" s="6">
        <f>COUNTIFS(Data!$C$2:$C$61,$A48,Data!$M$2:$M$61,"INC")</f>
        <v>0</v>
      </c>
      <c r="J48" s="6">
        <f>COUNTIFS(Data!$C$2:$C$61,$A48,Data!$M$2:$M$61,"TMP")</f>
        <v>0</v>
      </c>
    </row>
    <row r="49" spans="1:10" x14ac:dyDescent="0.3">
      <c r="A49" s="5" t="s">
        <v>52</v>
      </c>
      <c r="B49" s="6">
        <f>COUNTIF(Data!$C$2:$C$61,$A49)</f>
        <v>6</v>
      </c>
      <c r="C49" s="6">
        <f>COUNTIFS(Data!$C$2:$C$61,$A49,Data!$F$2:$F$61,"BJP")</f>
        <v>5</v>
      </c>
      <c r="D49" s="6">
        <f>COUNTIFS(Data!$C$2:$C$61,$A49,Data!$M$2:$M$61,"BJP")</f>
        <v>3</v>
      </c>
      <c r="E49" s="6">
        <f>COUNTIFS(Data!$C$2:$C$61,$A49,Data!$F$2:$F$61,"IPFT")</f>
        <v>1</v>
      </c>
      <c r="F49" s="6">
        <f>COUNTIFS(Data!$C$2:$C$61,$A49,Data!$M$2:$M$61,"IPFT")</f>
        <v>0</v>
      </c>
      <c r="G49" s="6">
        <f>COUNTIFS(Data!$C$2:$C$61,$A49,Data!$F$2:$F$61,"CPI(M)")</f>
        <v>0</v>
      </c>
      <c r="H49" s="6">
        <f>COUNTIFS(Data!$C$2:$C$61,$A49,Data!$M$2:$M$61,"CPI(M)")</f>
        <v>0</v>
      </c>
      <c r="I49" s="6">
        <f>COUNTIFS(Data!$C$2:$C$61,$A49,Data!$M$2:$M$61,"INC")</f>
        <v>0</v>
      </c>
      <c r="J49" s="6">
        <f>COUNTIFS(Data!$C$2:$C$61,$A49,Data!$M$2:$M$61,"TMP")</f>
        <v>3</v>
      </c>
    </row>
    <row r="50" spans="1:10" x14ac:dyDescent="0.3">
      <c r="A50" s="5" t="s">
        <v>53</v>
      </c>
      <c r="B50" s="6">
        <f>COUNTIF(Data!$C$2:$C$61,$A50)</f>
        <v>4</v>
      </c>
      <c r="C50" s="6">
        <f>COUNTIFS(Data!$C$2:$C$61,$A50,Data!$F$2:$F$61,"BJP")</f>
        <v>2</v>
      </c>
      <c r="D50" s="6">
        <f>COUNTIFS(Data!$C$2:$C$61,$A50,Data!$M$2:$M$61,"BJP")</f>
        <v>3</v>
      </c>
      <c r="E50" s="6">
        <f>COUNTIFS(Data!$C$2:$C$61,$A50,Data!$F$2:$F$61,"IPFT")</f>
        <v>0</v>
      </c>
      <c r="F50" s="6">
        <f>COUNTIFS(Data!$C$2:$C$61,$A50,Data!$M$2:$M$61,"IPFT")</f>
        <v>0</v>
      </c>
      <c r="G50" s="6">
        <f>COUNTIFS(Data!$C$2:$C$61,$A50,Data!$F$2:$F$61,"CPI(M)")</f>
        <v>2</v>
      </c>
      <c r="H50" s="6">
        <f>COUNTIFS(Data!$C$2:$C$61,$A50,Data!$M$2:$M$61,"CPI(M)")</f>
        <v>0</v>
      </c>
      <c r="I50" s="6">
        <f>COUNTIFS(Data!$C$2:$C$61,$A50,Data!$M$2:$M$61,"INC")</f>
        <v>1</v>
      </c>
      <c r="J50" s="6">
        <f>COUNTIFS(Data!$C$2:$C$61,$A50,Data!$M$2:$M$61,"TMP")</f>
        <v>0</v>
      </c>
    </row>
    <row r="51" spans="1:10" x14ac:dyDescent="0.3">
      <c r="A51" s="5" t="s">
        <v>54</v>
      </c>
      <c r="B51" s="6">
        <f>COUNTIF(Data!$C$2:$C$61,$A51)</f>
        <v>7</v>
      </c>
      <c r="C51" s="6">
        <f>COUNTIFS(Data!$C$2:$C$61,$A51,Data!$F$2:$F$61,"BJP")</f>
        <v>3</v>
      </c>
      <c r="D51" s="6">
        <f>COUNTIFS(Data!$C$2:$C$61,$A51,Data!$M$2:$M$61,"BJP")</f>
        <v>4</v>
      </c>
      <c r="E51" s="6">
        <f>COUNTIFS(Data!$C$2:$C$61,$A51,Data!$F$2:$F$61,"IPFT")</f>
        <v>1</v>
      </c>
      <c r="F51" s="6">
        <f>COUNTIFS(Data!$C$2:$C$61,$A51,Data!$M$2:$M$61,"IPFT")</f>
        <v>0</v>
      </c>
      <c r="G51" s="6">
        <f>COUNTIFS(Data!$C$2:$C$61,$A51,Data!$F$2:$F$61,"CPI(M)")</f>
        <v>3</v>
      </c>
      <c r="H51" s="6">
        <f>COUNTIFS(Data!$C$2:$C$61,$A51,Data!$M$2:$M$61,"CPI(M)")</f>
        <v>2</v>
      </c>
      <c r="I51" s="6">
        <f>COUNTIFS(Data!$C$2:$C$61,$A51,Data!$M$2:$M$61,"INC")</f>
        <v>0</v>
      </c>
      <c r="J51" s="6">
        <f>COUNTIFS(Data!$C$2:$C$61,$A51,Data!$M$2:$M$61,"TMP")</f>
        <v>1</v>
      </c>
    </row>
    <row r="52" spans="1:10" x14ac:dyDescent="0.3">
      <c r="A52" s="5" t="s">
        <v>11</v>
      </c>
      <c r="B52" s="5">
        <f t="shared" ref="B52:J52" si="1">SUM(B44:B51)</f>
        <v>60</v>
      </c>
      <c r="C52" s="5">
        <f t="shared" si="1"/>
        <v>36</v>
      </c>
      <c r="D52" s="5">
        <f t="shared" si="1"/>
        <v>32</v>
      </c>
      <c r="E52" s="5">
        <f t="shared" si="1"/>
        <v>8</v>
      </c>
      <c r="F52" s="5">
        <f t="shared" si="1"/>
        <v>1</v>
      </c>
      <c r="G52" s="5">
        <f t="shared" si="1"/>
        <v>16</v>
      </c>
      <c r="H52" s="5">
        <f t="shared" si="1"/>
        <v>11</v>
      </c>
      <c r="I52" s="5">
        <f t="shared" si="1"/>
        <v>3</v>
      </c>
      <c r="J52" s="5">
        <f t="shared" si="1"/>
        <v>13</v>
      </c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3" t="s">
        <v>55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ht="31.5" customHeight="1" x14ac:dyDescent="0.3">
      <c r="A55" s="4" t="s">
        <v>13</v>
      </c>
      <c r="B55" s="4" t="s">
        <v>56</v>
      </c>
      <c r="C55" s="4" t="s">
        <v>57</v>
      </c>
      <c r="D55" s="2"/>
      <c r="E55" s="2"/>
      <c r="F55" s="2"/>
      <c r="G55" s="2"/>
      <c r="H55" s="2"/>
      <c r="I55" s="2"/>
      <c r="J55" s="2"/>
    </row>
    <row r="56" spans="1:10" x14ac:dyDescent="0.3">
      <c r="A56" s="6" t="s">
        <v>58</v>
      </c>
      <c r="B56" s="6">
        <f>COUNTIF(Data!$W$2:$W$61,"Yes")</f>
        <v>16</v>
      </c>
      <c r="C56" s="6">
        <f>COUNTIF(Data!$X$2:$X$61,"Yes")</f>
        <v>26</v>
      </c>
      <c r="D56" s="2"/>
      <c r="E56" s="2"/>
      <c r="F56" s="2"/>
      <c r="G56" s="2"/>
      <c r="H56" s="2"/>
      <c r="I56" s="2"/>
      <c r="J56" s="2"/>
    </row>
    <row r="57" spans="1:10" x14ac:dyDescent="0.3">
      <c r="A57" s="6" t="s">
        <v>59</v>
      </c>
      <c r="B57" s="6">
        <f>COUNTIF(Data!$K$2:$K$61,"&lt;1000")</f>
        <v>10</v>
      </c>
      <c r="C57" s="6">
        <f>COUNTIF(Data!$R$2:$R$61,"&lt;1000")</f>
        <v>10</v>
      </c>
      <c r="D57" s="2"/>
      <c r="E57" s="2"/>
      <c r="F57" s="2"/>
      <c r="G57" s="2"/>
      <c r="H57" s="2"/>
      <c r="I57" s="2"/>
      <c r="J57" s="2"/>
    </row>
    <row r="58" spans="1:10" x14ac:dyDescent="0.3">
      <c r="A58" s="6" t="s">
        <v>60</v>
      </c>
      <c r="B58" s="11">
        <f>MEDIAN(Data!$S$2:$S$61)</f>
        <v>8.9828518456841699E-2</v>
      </c>
      <c r="C58" s="11">
        <f>MEDIAN(Data!$T$2:$T$61)</f>
        <v>7.2761764734742662E-2</v>
      </c>
      <c r="D58" s="2"/>
      <c r="E58" s="2"/>
      <c r="F58" s="2"/>
      <c r="G58" s="2"/>
      <c r="H58" s="2"/>
      <c r="I58" s="2"/>
      <c r="J58" s="2"/>
    </row>
    <row r="59" spans="1:10" x14ac:dyDescent="0.3">
      <c r="A59" s="6" t="s">
        <v>61</v>
      </c>
      <c r="B59" s="12">
        <f>MEDIAN(Data!$K$2:$K$61)</f>
        <v>3670</v>
      </c>
      <c r="C59" s="12">
        <f>MEDIAN(Data!$R$2:$R$61)</f>
        <v>2768.5</v>
      </c>
      <c r="D59" s="2"/>
      <c r="E59" s="2"/>
      <c r="F59" s="2"/>
      <c r="G59" s="2"/>
      <c r="H59" s="2"/>
      <c r="I59" s="2"/>
      <c r="J59" s="2"/>
    </row>
    <row r="60" spans="1:10" x14ac:dyDescent="0.3">
      <c r="A60" s="6" t="s">
        <v>62</v>
      </c>
      <c r="B60" s="12">
        <f>MIN(Data!$K$2:$K$61)</f>
        <v>193</v>
      </c>
      <c r="C60" s="12">
        <f>MIN(Data!$R$2:$R$61)</f>
        <v>296</v>
      </c>
      <c r="D60" s="2"/>
      <c r="E60" s="2"/>
      <c r="F60" s="2"/>
      <c r="G60" s="2"/>
      <c r="H60" s="2"/>
      <c r="I60" s="2"/>
      <c r="J60" s="2"/>
    </row>
    <row r="61" spans="1:10" x14ac:dyDescent="0.3">
      <c r="A61" s="6" t="s">
        <v>63</v>
      </c>
      <c r="B61" s="12">
        <f>MAX(Data!$K$2:$K$61)</f>
        <v>25550</v>
      </c>
      <c r="C61" s="12">
        <f>MAX(Data!$R$2:$R$61)</f>
        <v>32455</v>
      </c>
      <c r="D61" s="2"/>
      <c r="E61" s="2"/>
      <c r="F61" s="2"/>
      <c r="G61" s="2"/>
      <c r="H61" s="2"/>
      <c r="I61" s="2"/>
      <c r="J61" s="2"/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31.5" customHeight="1" x14ac:dyDescent="0.3">
      <c r="A63" s="4" t="s">
        <v>64</v>
      </c>
      <c r="B63" s="4" t="s">
        <v>19</v>
      </c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5" t="s">
        <v>6</v>
      </c>
      <c r="B64" s="6">
        <f>COUNTIFS(Data!$X$2:$X$61,"Yes",Data!$M$2:$M$61,A64)</f>
        <v>13</v>
      </c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5" t="s">
        <v>7</v>
      </c>
      <c r="B65" s="6">
        <f>COUNTIFS(Data!$X$2:$X$61,"Yes",Data!$M$2:$M$61,A65)</f>
        <v>1</v>
      </c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5" t="s">
        <v>8</v>
      </c>
      <c r="B66" s="6">
        <f>COUNTIFS(Data!$X$2:$X$61,"Yes",Data!$M$2:$M$61,A66)</f>
        <v>9</v>
      </c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5" t="s">
        <v>9</v>
      </c>
      <c r="B67" s="6">
        <f>COUNTIFS(Data!$X$2:$X$61,"Yes",Data!$M$2:$M$61,A67)</f>
        <v>1</v>
      </c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5" t="s">
        <v>10</v>
      </c>
      <c r="B68" s="6">
        <f>COUNTIFS(Data!$X$2:$X$61,"Yes",Data!$M$2:$M$61,A68)</f>
        <v>2</v>
      </c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5" t="s">
        <v>11</v>
      </c>
      <c r="B69" s="5">
        <f>SUM(B64:B68)</f>
        <v>26</v>
      </c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 s="3" t="s">
        <v>65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31.5" customHeight="1" x14ac:dyDescent="0.3">
      <c r="A72" s="4" t="s">
        <v>2</v>
      </c>
      <c r="B72" s="4" t="s">
        <v>66</v>
      </c>
      <c r="C72" s="4" t="s">
        <v>67</v>
      </c>
      <c r="D72" s="4" t="s">
        <v>68</v>
      </c>
      <c r="E72" s="2"/>
      <c r="F72" s="2"/>
      <c r="G72" s="2"/>
      <c r="H72" s="2"/>
      <c r="I72" s="2"/>
      <c r="J72" s="2"/>
    </row>
    <row r="73" spans="1:10" x14ac:dyDescent="0.3">
      <c r="A73" s="5" t="s">
        <v>6</v>
      </c>
      <c r="B73" s="13">
        <v>43.59</v>
      </c>
      <c r="C73" s="13">
        <v>38.97</v>
      </c>
      <c r="D73" s="14">
        <f>C73-B73</f>
        <v>-4.6200000000000045</v>
      </c>
      <c r="E73" s="2"/>
      <c r="F73" s="2"/>
      <c r="G73" s="2"/>
      <c r="H73" s="2"/>
      <c r="I73" s="2"/>
      <c r="J73" s="2"/>
    </row>
    <row r="74" spans="1:10" x14ac:dyDescent="0.3">
      <c r="A74" s="5" t="s">
        <v>7</v>
      </c>
      <c r="B74" s="13">
        <v>7.38</v>
      </c>
      <c r="C74" s="13">
        <v>1.26</v>
      </c>
      <c r="D74" s="14">
        <f>C74-B74</f>
        <v>-6.12</v>
      </c>
      <c r="E74" s="2"/>
      <c r="F74" s="2"/>
      <c r="G74" s="2"/>
      <c r="H74" s="2"/>
      <c r="I74" s="2"/>
      <c r="J74" s="2"/>
    </row>
    <row r="75" spans="1:10" x14ac:dyDescent="0.3">
      <c r="A75" s="5" t="s">
        <v>8</v>
      </c>
      <c r="B75" s="13">
        <v>42.22</v>
      </c>
      <c r="C75" s="13">
        <v>24.62</v>
      </c>
      <c r="D75" s="14">
        <f>C75-B75</f>
        <v>-17.599999999999998</v>
      </c>
      <c r="E75" s="2"/>
      <c r="F75" s="2"/>
      <c r="G75" s="2"/>
      <c r="H75" s="2"/>
      <c r="I75" s="2"/>
      <c r="J75" s="2"/>
    </row>
    <row r="76" spans="1:10" x14ac:dyDescent="0.3">
      <c r="A76" s="5" t="s">
        <v>9</v>
      </c>
      <c r="B76" s="13">
        <v>1.79</v>
      </c>
      <c r="C76" s="13">
        <v>8.56</v>
      </c>
      <c r="D76" s="14">
        <f>C76-B76</f>
        <v>6.7700000000000005</v>
      </c>
      <c r="E76" s="2"/>
      <c r="F76" s="2"/>
      <c r="G76" s="2"/>
      <c r="H76" s="2"/>
      <c r="I76" s="2"/>
      <c r="J76" s="2"/>
    </row>
    <row r="77" spans="1:10" x14ac:dyDescent="0.3">
      <c r="A77" s="5" t="s">
        <v>10</v>
      </c>
      <c r="B77" s="13">
        <v>0</v>
      </c>
      <c r="C77" s="13">
        <v>19.690000000000001</v>
      </c>
      <c r="D77" s="14">
        <f>C77-B77</f>
        <v>19.690000000000001</v>
      </c>
      <c r="E77" s="2"/>
      <c r="F77" s="2"/>
      <c r="G77" s="2"/>
      <c r="H77" s="2"/>
      <c r="I77" s="2"/>
      <c r="J77" s="2"/>
    </row>
    <row r="78" spans="1:10" x14ac:dyDescent="0.3">
      <c r="A78" s="10" t="s">
        <v>69</v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 s="15" t="s">
        <v>70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 s="6" t="s">
        <v>71</v>
      </c>
      <c r="B80" s="16">
        <f>B73+B74</f>
        <v>50.970000000000006</v>
      </c>
      <c r="C80" s="16">
        <f>C73+C74</f>
        <v>40.229999999999997</v>
      </c>
      <c r="D80" s="14">
        <f>C80-B80</f>
        <v>-10.740000000000009</v>
      </c>
      <c r="E80" s="2"/>
      <c r="F80" s="2"/>
      <c r="G80" s="2"/>
      <c r="H80" s="2"/>
      <c r="I80" s="2"/>
      <c r="J80" s="2"/>
    </row>
    <row r="81" spans="1:10" x14ac:dyDescent="0.3">
      <c r="A81" s="6" t="s">
        <v>72</v>
      </c>
      <c r="B81" s="6">
        <f>B5+B6</f>
        <v>44</v>
      </c>
      <c r="C81" s="6">
        <f>C5+C6</f>
        <v>33</v>
      </c>
      <c r="D81" s="7">
        <f>C81-B81</f>
        <v>-11</v>
      </c>
      <c r="E81" s="2"/>
      <c r="F81" s="2"/>
      <c r="G81" s="2"/>
      <c r="H81" s="2"/>
      <c r="I81" s="2"/>
      <c r="J81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22" customWidth="1"/>
    <col min="3" max="3" width="14" customWidth="1"/>
    <col min="4" max="4" width="9" customWidth="1"/>
    <col min="5" max="5" width="26" customWidth="1"/>
    <col min="6" max="6" width="9" customWidth="1"/>
    <col min="7" max="8" width="10" customWidth="1"/>
    <col min="9" max="11" width="11" customWidth="1"/>
    <col min="12" max="12" width="26" customWidth="1"/>
    <col min="13" max="13" width="9" customWidth="1"/>
    <col min="14" max="15" width="10" customWidth="1"/>
    <col min="16" max="18" width="11" customWidth="1"/>
    <col min="19" max="20" width="12" customWidth="1"/>
    <col min="21" max="21" width="11" customWidth="1"/>
    <col min="22" max="22" width="20" customWidth="1"/>
    <col min="23" max="24" width="11" customWidth="1"/>
  </cols>
  <sheetData>
    <row r="1" spans="1:24" ht="45" customHeight="1" x14ac:dyDescent="0.3">
      <c r="A1" s="4" t="s">
        <v>73</v>
      </c>
      <c r="B1" s="4" t="s">
        <v>74</v>
      </c>
      <c r="C1" s="4" t="s">
        <v>46</v>
      </c>
      <c r="D1" s="4" t="s">
        <v>29</v>
      </c>
      <c r="E1" s="17" t="s">
        <v>75</v>
      </c>
      <c r="F1" s="17" t="s">
        <v>76</v>
      </c>
      <c r="G1" s="17" t="s">
        <v>77</v>
      </c>
      <c r="H1" s="17" t="s">
        <v>78</v>
      </c>
      <c r="I1" s="17" t="s">
        <v>79</v>
      </c>
      <c r="J1" s="17" t="s">
        <v>80</v>
      </c>
      <c r="K1" s="17" t="s">
        <v>81</v>
      </c>
      <c r="L1" s="18" t="s">
        <v>82</v>
      </c>
      <c r="M1" s="18" t="s">
        <v>83</v>
      </c>
      <c r="N1" s="18" t="s">
        <v>84</v>
      </c>
      <c r="O1" s="18" t="s">
        <v>85</v>
      </c>
      <c r="P1" s="18" t="s">
        <v>86</v>
      </c>
      <c r="Q1" s="18" t="s">
        <v>87</v>
      </c>
      <c r="R1" s="18" t="s">
        <v>88</v>
      </c>
      <c r="S1" s="19" t="s">
        <v>89</v>
      </c>
      <c r="T1" s="19" t="s">
        <v>90</v>
      </c>
      <c r="U1" s="19" t="s">
        <v>91</v>
      </c>
      <c r="V1" s="19" t="s">
        <v>92</v>
      </c>
      <c r="W1" s="19" t="s">
        <v>93</v>
      </c>
      <c r="X1" s="19" t="s">
        <v>94</v>
      </c>
    </row>
    <row r="2" spans="1:24" x14ac:dyDescent="0.3">
      <c r="A2" s="20">
        <v>1</v>
      </c>
      <c r="B2" s="20" t="s">
        <v>95</v>
      </c>
      <c r="C2" s="20" t="s">
        <v>47</v>
      </c>
      <c r="D2" s="20" t="s">
        <v>40</v>
      </c>
      <c r="E2" s="20" t="s">
        <v>96</v>
      </c>
      <c r="F2" s="20" t="s">
        <v>7</v>
      </c>
      <c r="G2" s="21">
        <v>15977</v>
      </c>
      <c r="H2" s="13">
        <v>48.15</v>
      </c>
      <c r="I2" s="20" t="s">
        <v>8</v>
      </c>
      <c r="J2" s="21">
        <v>14014</v>
      </c>
      <c r="K2" s="21">
        <v>1963</v>
      </c>
      <c r="L2" s="20" t="s">
        <v>96</v>
      </c>
      <c r="M2" s="20" t="s">
        <v>10</v>
      </c>
      <c r="N2" s="21">
        <v>22757</v>
      </c>
      <c r="O2" s="13">
        <v>64.89</v>
      </c>
      <c r="P2" s="20" t="s">
        <v>8</v>
      </c>
      <c r="Q2" s="21">
        <v>5811</v>
      </c>
      <c r="R2" s="21">
        <v>16946</v>
      </c>
      <c r="S2" s="11">
        <f t="shared" ref="S2:S33" si="0">IF(H2&gt;0,K2/(G2/(H2/100)),"")</f>
        <v>5.9159072416598867E-2</v>
      </c>
      <c r="T2" s="11">
        <f t="shared" ref="T2:T33" si="1">IF(O2&gt;0,R2/(N2/(O2/100)),"")</f>
        <v>0.48320338357428488</v>
      </c>
      <c r="U2" s="6" t="str">
        <f t="shared" ref="U2:U33" si="2">IF(F2=M2,"No","Yes")</f>
        <v>Yes</v>
      </c>
      <c r="V2" s="6" t="str">
        <f t="shared" ref="V2:V33" si="3">F2&amp;" -&gt; "&amp;M2</f>
        <v>IPFT -&gt; TMP</v>
      </c>
      <c r="W2" s="6" t="str">
        <f t="shared" ref="W2:W33" si="4">IF(S2&lt;0.05,"Yes","No")</f>
        <v>No</v>
      </c>
      <c r="X2" s="6" t="str">
        <f t="shared" ref="X2:X33" si="5">IF(T2&lt;0.05,"Yes","No")</f>
        <v>No</v>
      </c>
    </row>
    <row r="3" spans="1:24" x14ac:dyDescent="0.3">
      <c r="A3" s="20">
        <v>2</v>
      </c>
      <c r="B3" s="20" t="s">
        <v>97</v>
      </c>
      <c r="C3" s="20" t="s">
        <v>47</v>
      </c>
      <c r="D3" s="20" t="s">
        <v>38</v>
      </c>
      <c r="E3" s="20" t="s">
        <v>98</v>
      </c>
      <c r="F3" s="20" t="s">
        <v>6</v>
      </c>
      <c r="G3" s="21">
        <v>22516</v>
      </c>
      <c r="H3" s="13">
        <v>54.43</v>
      </c>
      <c r="I3" s="20" t="s">
        <v>8</v>
      </c>
      <c r="J3" s="21">
        <v>17340</v>
      </c>
      <c r="K3" s="21">
        <v>5176</v>
      </c>
      <c r="L3" s="20" t="s">
        <v>98</v>
      </c>
      <c r="M3" s="20" t="s">
        <v>6</v>
      </c>
      <c r="N3" s="21">
        <v>19663</v>
      </c>
      <c r="O3" s="13">
        <v>45.34</v>
      </c>
      <c r="P3" s="20" t="s">
        <v>10</v>
      </c>
      <c r="Q3" s="21">
        <v>12278</v>
      </c>
      <c r="R3" s="21">
        <v>7385</v>
      </c>
      <c r="S3" s="11">
        <f t="shared" si="0"/>
        <v>0.12512421389234321</v>
      </c>
      <c r="T3" s="11">
        <f t="shared" si="1"/>
        <v>0.1702872908508366</v>
      </c>
      <c r="U3" s="6" t="str">
        <f t="shared" si="2"/>
        <v>No</v>
      </c>
      <c r="V3" s="6" t="str">
        <f t="shared" si="3"/>
        <v>BJP -&gt; BJP</v>
      </c>
      <c r="W3" s="6" t="str">
        <f t="shared" si="4"/>
        <v>No</v>
      </c>
      <c r="X3" s="6" t="str">
        <f t="shared" si="5"/>
        <v>No</v>
      </c>
    </row>
    <row r="4" spans="1:24" x14ac:dyDescent="0.3">
      <c r="A4" s="20">
        <v>3</v>
      </c>
      <c r="B4" s="20" t="s">
        <v>99</v>
      </c>
      <c r="C4" s="20" t="s">
        <v>47</v>
      </c>
      <c r="D4" s="20" t="s">
        <v>39</v>
      </c>
      <c r="E4" s="20" t="s">
        <v>100</v>
      </c>
      <c r="F4" s="20" t="s">
        <v>6</v>
      </c>
      <c r="G4" s="21">
        <v>20014</v>
      </c>
      <c r="H4" s="13">
        <v>49.15</v>
      </c>
      <c r="I4" s="20" t="s">
        <v>8</v>
      </c>
      <c r="J4" s="21">
        <v>19042</v>
      </c>
      <c r="K4" s="21">
        <v>972</v>
      </c>
      <c r="L4" s="20" t="s">
        <v>101</v>
      </c>
      <c r="M4" s="20" t="s">
        <v>8</v>
      </c>
      <c r="N4" s="21">
        <v>20119</v>
      </c>
      <c r="O4" s="13">
        <v>46.39</v>
      </c>
      <c r="P4" s="20" t="s">
        <v>6</v>
      </c>
      <c r="Q4" s="21">
        <v>18093</v>
      </c>
      <c r="R4" s="21">
        <v>2026</v>
      </c>
      <c r="S4" s="11">
        <f t="shared" si="0"/>
        <v>2.3870190866393522E-2</v>
      </c>
      <c r="T4" s="11">
        <f t="shared" si="1"/>
        <v>4.67151150653611E-2</v>
      </c>
      <c r="U4" s="6" t="str">
        <f t="shared" si="2"/>
        <v>Yes</v>
      </c>
      <c r="V4" s="6" t="str">
        <f t="shared" si="3"/>
        <v>BJP -&gt; CPI(M)</v>
      </c>
      <c r="W4" s="6" t="str">
        <f t="shared" si="4"/>
        <v>Yes</v>
      </c>
      <c r="X4" s="6" t="str">
        <f t="shared" si="5"/>
        <v>Yes</v>
      </c>
    </row>
    <row r="5" spans="1:24" x14ac:dyDescent="0.3">
      <c r="A5" s="20">
        <v>4</v>
      </c>
      <c r="B5" s="20" t="s">
        <v>102</v>
      </c>
      <c r="C5" s="20" t="s">
        <v>47</v>
      </c>
      <c r="D5" s="20" t="s">
        <v>39</v>
      </c>
      <c r="E5" s="20" t="s">
        <v>103</v>
      </c>
      <c r="F5" s="20" t="s">
        <v>6</v>
      </c>
      <c r="G5" s="21">
        <v>22052</v>
      </c>
      <c r="H5" s="13">
        <v>55.42</v>
      </c>
      <c r="I5" s="20" t="s">
        <v>8</v>
      </c>
      <c r="J5" s="21">
        <v>15825</v>
      </c>
      <c r="K5" s="21">
        <v>6227</v>
      </c>
      <c r="L5" s="20" t="s">
        <v>104</v>
      </c>
      <c r="M5" s="20" t="s">
        <v>8</v>
      </c>
      <c r="N5" s="21">
        <v>21486</v>
      </c>
      <c r="O5" s="13">
        <v>50.93</v>
      </c>
      <c r="P5" s="20" t="s">
        <v>6</v>
      </c>
      <c r="Q5" s="21">
        <v>19697</v>
      </c>
      <c r="R5" s="21">
        <v>1789</v>
      </c>
      <c r="S5" s="11">
        <f t="shared" si="0"/>
        <v>0.15649389624523855</v>
      </c>
      <c r="T5" s="11">
        <f t="shared" si="1"/>
        <v>4.2406110955971327E-2</v>
      </c>
      <c r="U5" s="6" t="str">
        <f t="shared" si="2"/>
        <v>Yes</v>
      </c>
      <c r="V5" s="6" t="str">
        <f t="shared" si="3"/>
        <v>BJP -&gt; CPI(M)</v>
      </c>
      <c r="W5" s="6" t="str">
        <f t="shared" si="4"/>
        <v>No</v>
      </c>
      <c r="X5" s="6" t="str">
        <f t="shared" si="5"/>
        <v>Yes</v>
      </c>
    </row>
    <row r="6" spans="1:24" x14ac:dyDescent="0.3">
      <c r="A6" s="20">
        <v>5</v>
      </c>
      <c r="B6" s="20" t="s">
        <v>105</v>
      </c>
      <c r="C6" s="20" t="s">
        <v>47</v>
      </c>
      <c r="D6" s="20" t="s">
        <v>38</v>
      </c>
      <c r="E6" s="20" t="s">
        <v>106</v>
      </c>
      <c r="F6" s="20" t="s">
        <v>6</v>
      </c>
      <c r="G6" s="21">
        <v>25496</v>
      </c>
      <c r="H6" s="13">
        <v>55.86</v>
      </c>
      <c r="I6" s="20" t="s">
        <v>8</v>
      </c>
      <c r="J6" s="21">
        <v>18457</v>
      </c>
      <c r="K6" s="21">
        <v>7039</v>
      </c>
      <c r="L6" s="20" t="s">
        <v>106</v>
      </c>
      <c r="M6" s="20" t="s">
        <v>6</v>
      </c>
      <c r="N6" s="21">
        <v>22453</v>
      </c>
      <c r="O6" s="13">
        <v>47.48</v>
      </c>
      <c r="P6" s="20" t="s">
        <v>8</v>
      </c>
      <c r="Q6" s="21">
        <v>18343</v>
      </c>
      <c r="R6" s="21">
        <v>4110</v>
      </c>
      <c r="S6" s="11">
        <f t="shared" si="0"/>
        <v>0.15421969720740508</v>
      </c>
      <c r="T6" s="11">
        <f t="shared" si="1"/>
        <v>8.6911682180554922E-2</v>
      </c>
      <c r="U6" s="6" t="str">
        <f t="shared" si="2"/>
        <v>No</v>
      </c>
      <c r="V6" s="6" t="str">
        <f t="shared" si="3"/>
        <v>BJP -&gt; BJP</v>
      </c>
      <c r="W6" s="6" t="str">
        <f t="shared" si="4"/>
        <v>No</v>
      </c>
      <c r="X6" s="6" t="str">
        <f t="shared" si="5"/>
        <v>No</v>
      </c>
    </row>
    <row r="7" spans="1:24" x14ac:dyDescent="0.3">
      <c r="A7" s="20">
        <v>6</v>
      </c>
      <c r="B7" s="20" t="s">
        <v>107</v>
      </c>
      <c r="C7" s="20" t="s">
        <v>47</v>
      </c>
      <c r="D7" s="20" t="s">
        <v>38</v>
      </c>
      <c r="E7" s="20" t="s">
        <v>108</v>
      </c>
      <c r="F7" s="20" t="s">
        <v>6</v>
      </c>
      <c r="G7" s="21">
        <v>25234</v>
      </c>
      <c r="H7" s="13">
        <v>55.47</v>
      </c>
      <c r="I7" s="20" t="s">
        <v>8</v>
      </c>
      <c r="J7" s="21">
        <v>17852</v>
      </c>
      <c r="K7" s="21">
        <v>7382</v>
      </c>
      <c r="L7" s="20" t="s">
        <v>108</v>
      </c>
      <c r="M7" s="20" t="s">
        <v>9</v>
      </c>
      <c r="N7" s="21">
        <v>26435</v>
      </c>
      <c r="O7" s="13">
        <v>57.35</v>
      </c>
      <c r="P7" s="20" t="s">
        <v>6</v>
      </c>
      <c r="Q7" s="21">
        <v>18273</v>
      </c>
      <c r="R7" s="21">
        <v>8162</v>
      </c>
      <c r="S7" s="11">
        <f t="shared" si="0"/>
        <v>0.16227294126971545</v>
      </c>
      <c r="T7" s="11">
        <f t="shared" si="1"/>
        <v>0.1770723283525629</v>
      </c>
      <c r="U7" s="6" t="str">
        <f t="shared" si="2"/>
        <v>Yes</v>
      </c>
      <c r="V7" s="6" t="str">
        <f t="shared" si="3"/>
        <v>BJP -&gt; INC</v>
      </c>
      <c r="W7" s="6" t="str">
        <f t="shared" si="4"/>
        <v>No</v>
      </c>
      <c r="X7" s="6" t="str">
        <f t="shared" si="5"/>
        <v>No</v>
      </c>
    </row>
    <row r="8" spans="1:24" x14ac:dyDescent="0.3">
      <c r="A8" s="20">
        <v>7</v>
      </c>
      <c r="B8" s="20" t="s">
        <v>109</v>
      </c>
      <c r="C8" s="20" t="s">
        <v>47</v>
      </c>
      <c r="D8" s="20" t="s">
        <v>38</v>
      </c>
      <c r="E8" s="20" t="s">
        <v>110</v>
      </c>
      <c r="F8" s="20" t="s">
        <v>6</v>
      </c>
      <c r="G8" s="21">
        <v>21092</v>
      </c>
      <c r="H8" s="13">
        <v>53.51</v>
      </c>
      <c r="I8" s="20" t="s">
        <v>8</v>
      </c>
      <c r="J8" s="21">
        <v>16237</v>
      </c>
      <c r="K8" s="21">
        <v>4855</v>
      </c>
      <c r="L8" s="20" t="s">
        <v>110</v>
      </c>
      <c r="M8" s="20" t="s">
        <v>6</v>
      </c>
      <c r="N8" s="21">
        <v>17455</v>
      </c>
      <c r="O8" s="13">
        <v>46.2</v>
      </c>
      <c r="P8" s="20" t="s">
        <v>111</v>
      </c>
      <c r="Q8" s="21">
        <v>16558</v>
      </c>
      <c r="R8" s="21">
        <v>897</v>
      </c>
      <c r="S8" s="11">
        <f t="shared" si="0"/>
        <v>0.12317042006447942</v>
      </c>
      <c r="T8" s="11">
        <f t="shared" si="1"/>
        <v>2.3741850472643943E-2</v>
      </c>
      <c r="U8" s="6" t="str">
        <f t="shared" si="2"/>
        <v>No</v>
      </c>
      <c r="V8" s="6" t="str">
        <f t="shared" si="3"/>
        <v>BJP -&gt; BJP</v>
      </c>
      <c r="W8" s="6" t="str">
        <f t="shared" si="4"/>
        <v>No</v>
      </c>
      <c r="X8" s="6" t="str">
        <f t="shared" si="5"/>
        <v>Yes</v>
      </c>
    </row>
    <row r="9" spans="1:24" x14ac:dyDescent="0.3">
      <c r="A9" s="20">
        <v>8</v>
      </c>
      <c r="B9" s="20" t="s">
        <v>112</v>
      </c>
      <c r="C9" s="20" t="s">
        <v>47</v>
      </c>
      <c r="D9" s="20" t="s">
        <v>38</v>
      </c>
      <c r="E9" s="20" t="s">
        <v>113</v>
      </c>
      <c r="F9" s="20" t="s">
        <v>6</v>
      </c>
      <c r="G9" s="21">
        <v>24293</v>
      </c>
      <c r="H9" s="13">
        <v>60.33</v>
      </c>
      <c r="I9" s="20" t="s">
        <v>114</v>
      </c>
      <c r="J9" s="21">
        <v>13115</v>
      </c>
      <c r="K9" s="21">
        <v>11178</v>
      </c>
      <c r="L9" s="20" t="s">
        <v>115</v>
      </c>
      <c r="M9" s="20" t="s">
        <v>6</v>
      </c>
      <c r="N9" s="21">
        <v>19586</v>
      </c>
      <c r="O9" s="13">
        <v>49.77</v>
      </c>
      <c r="P9" s="20" t="s">
        <v>9</v>
      </c>
      <c r="Q9" s="21">
        <v>18329</v>
      </c>
      <c r="R9" s="21">
        <v>1257</v>
      </c>
      <c r="S9" s="11">
        <f t="shared" si="0"/>
        <v>0.2775979664924052</v>
      </c>
      <c r="T9" s="11">
        <f t="shared" si="1"/>
        <v>3.1941636883488209E-2</v>
      </c>
      <c r="U9" s="6" t="str">
        <f t="shared" si="2"/>
        <v>No</v>
      </c>
      <c r="V9" s="6" t="str">
        <f t="shared" si="3"/>
        <v>BJP -&gt; BJP</v>
      </c>
      <c r="W9" s="6" t="str">
        <f t="shared" si="4"/>
        <v>No</v>
      </c>
      <c r="X9" s="6" t="str">
        <f t="shared" si="5"/>
        <v>Yes</v>
      </c>
    </row>
    <row r="10" spans="1:24" x14ac:dyDescent="0.3">
      <c r="A10" s="20">
        <v>9</v>
      </c>
      <c r="B10" s="20" t="s">
        <v>116</v>
      </c>
      <c r="C10" s="20" t="s">
        <v>47</v>
      </c>
      <c r="D10" s="20" t="s">
        <v>38</v>
      </c>
      <c r="E10" s="20" t="s">
        <v>117</v>
      </c>
      <c r="F10" s="20" t="s">
        <v>6</v>
      </c>
      <c r="G10" s="21">
        <v>21755</v>
      </c>
      <c r="H10" s="13">
        <v>59.89</v>
      </c>
      <c r="I10" s="20" t="s">
        <v>8</v>
      </c>
      <c r="J10" s="21">
        <v>12206</v>
      </c>
      <c r="K10" s="21">
        <v>9549</v>
      </c>
      <c r="L10" s="20" t="s">
        <v>118</v>
      </c>
      <c r="M10" s="20" t="s">
        <v>9</v>
      </c>
      <c r="N10" s="21">
        <v>17128</v>
      </c>
      <c r="O10" s="13">
        <v>49.58</v>
      </c>
      <c r="P10" s="20" t="s">
        <v>6</v>
      </c>
      <c r="Q10" s="21">
        <v>15759</v>
      </c>
      <c r="R10" s="21">
        <v>1369</v>
      </c>
      <c r="S10" s="11">
        <f t="shared" si="0"/>
        <v>0.2628773201562859</v>
      </c>
      <c r="T10" s="11">
        <f t="shared" si="1"/>
        <v>3.9628106025221856E-2</v>
      </c>
      <c r="U10" s="6" t="str">
        <f t="shared" si="2"/>
        <v>Yes</v>
      </c>
      <c r="V10" s="6" t="str">
        <f t="shared" si="3"/>
        <v>BJP -&gt; INC</v>
      </c>
      <c r="W10" s="6" t="str">
        <f t="shared" si="4"/>
        <v>No</v>
      </c>
      <c r="X10" s="6" t="str">
        <f t="shared" si="5"/>
        <v>Yes</v>
      </c>
    </row>
    <row r="11" spans="1:24" x14ac:dyDescent="0.3">
      <c r="A11" s="20">
        <v>10</v>
      </c>
      <c r="B11" s="20" t="s">
        <v>119</v>
      </c>
      <c r="C11" s="20" t="s">
        <v>47</v>
      </c>
      <c r="D11" s="20" t="s">
        <v>38</v>
      </c>
      <c r="E11" s="20" t="s">
        <v>120</v>
      </c>
      <c r="F11" s="20" t="s">
        <v>6</v>
      </c>
      <c r="G11" s="21">
        <v>23249</v>
      </c>
      <c r="H11" s="13">
        <v>52.41</v>
      </c>
      <c r="I11" s="20" t="s">
        <v>8</v>
      </c>
      <c r="J11" s="21">
        <v>19359</v>
      </c>
      <c r="K11" s="21">
        <v>3890</v>
      </c>
      <c r="L11" s="20" t="s">
        <v>120</v>
      </c>
      <c r="M11" s="20" t="s">
        <v>6</v>
      </c>
      <c r="N11" s="21">
        <v>21349</v>
      </c>
      <c r="O11" s="13">
        <v>46.8</v>
      </c>
      <c r="P11" s="20" t="s">
        <v>8</v>
      </c>
      <c r="Q11" s="21">
        <v>16177</v>
      </c>
      <c r="R11" s="21">
        <v>5172</v>
      </c>
      <c r="S11" s="11">
        <f t="shared" si="0"/>
        <v>8.7691900726912991E-2</v>
      </c>
      <c r="T11" s="11">
        <f t="shared" si="1"/>
        <v>0.11337748840695115</v>
      </c>
      <c r="U11" s="6" t="str">
        <f t="shared" si="2"/>
        <v>No</v>
      </c>
      <c r="V11" s="6" t="str">
        <f t="shared" si="3"/>
        <v>BJP -&gt; BJP</v>
      </c>
      <c r="W11" s="6" t="str">
        <f t="shared" si="4"/>
        <v>No</v>
      </c>
      <c r="X11" s="6" t="str">
        <f t="shared" si="5"/>
        <v>No</v>
      </c>
    </row>
    <row r="12" spans="1:24" x14ac:dyDescent="0.3">
      <c r="A12" s="20">
        <v>11</v>
      </c>
      <c r="B12" s="20" t="s">
        <v>121</v>
      </c>
      <c r="C12" s="20" t="s">
        <v>47</v>
      </c>
      <c r="D12" s="20" t="s">
        <v>40</v>
      </c>
      <c r="E12" s="20" t="s">
        <v>122</v>
      </c>
      <c r="F12" s="20" t="s">
        <v>7</v>
      </c>
      <c r="G12" s="21">
        <v>21381</v>
      </c>
      <c r="H12" s="13">
        <v>51.94</v>
      </c>
      <c r="I12" s="20" t="s">
        <v>8</v>
      </c>
      <c r="J12" s="21">
        <v>15517</v>
      </c>
      <c r="K12" s="21">
        <v>5864</v>
      </c>
      <c r="L12" s="20" t="s">
        <v>123</v>
      </c>
      <c r="M12" s="20" t="s">
        <v>10</v>
      </c>
      <c r="N12" s="21">
        <v>28726</v>
      </c>
      <c r="O12" s="13">
        <v>66.349999999999994</v>
      </c>
      <c r="P12" s="20" t="s">
        <v>8</v>
      </c>
      <c r="Q12" s="21">
        <v>7077</v>
      </c>
      <c r="R12" s="21">
        <v>21649</v>
      </c>
      <c r="S12" s="11">
        <f t="shared" si="0"/>
        <v>0.14245178429446706</v>
      </c>
      <c r="T12" s="11">
        <f t="shared" si="1"/>
        <v>0.50003869316995053</v>
      </c>
      <c r="U12" s="6" t="str">
        <f t="shared" si="2"/>
        <v>Yes</v>
      </c>
      <c r="V12" s="6" t="str">
        <f t="shared" si="3"/>
        <v>IPFT -&gt; TMP</v>
      </c>
      <c r="W12" s="6" t="str">
        <f t="shared" si="4"/>
        <v>No</v>
      </c>
      <c r="X12" s="6" t="str">
        <f t="shared" si="5"/>
        <v>No</v>
      </c>
    </row>
    <row r="13" spans="1:24" x14ac:dyDescent="0.3">
      <c r="A13" s="20">
        <v>12</v>
      </c>
      <c r="B13" s="20" t="s">
        <v>124</v>
      </c>
      <c r="C13" s="20" t="s">
        <v>48</v>
      </c>
      <c r="D13" s="20" t="s">
        <v>40</v>
      </c>
      <c r="E13" s="20" t="s">
        <v>125</v>
      </c>
      <c r="F13" s="20" t="s">
        <v>7</v>
      </c>
      <c r="G13" s="21">
        <v>22056</v>
      </c>
      <c r="H13" s="13">
        <v>61.9</v>
      </c>
      <c r="I13" s="20" t="s">
        <v>8</v>
      </c>
      <c r="J13" s="21">
        <v>9404</v>
      </c>
      <c r="K13" s="21">
        <v>12652</v>
      </c>
      <c r="L13" s="20" t="s">
        <v>126</v>
      </c>
      <c r="M13" s="20" t="s">
        <v>10</v>
      </c>
      <c r="N13" s="21">
        <v>34717</v>
      </c>
      <c r="O13" s="13">
        <v>86.81</v>
      </c>
      <c r="P13" s="20" t="s">
        <v>7</v>
      </c>
      <c r="Q13" s="21">
        <v>2262</v>
      </c>
      <c r="R13" s="21">
        <v>32455</v>
      </c>
      <c r="S13" s="11">
        <f t="shared" si="0"/>
        <v>0.35507743924555674</v>
      </c>
      <c r="T13" s="11">
        <f t="shared" si="1"/>
        <v>0.81153859780510984</v>
      </c>
      <c r="U13" s="6" t="str">
        <f t="shared" si="2"/>
        <v>Yes</v>
      </c>
      <c r="V13" s="6" t="str">
        <f t="shared" si="3"/>
        <v>IPFT -&gt; TMP</v>
      </c>
      <c r="W13" s="6" t="str">
        <f t="shared" si="4"/>
        <v>No</v>
      </c>
      <c r="X13" s="6" t="str">
        <f t="shared" si="5"/>
        <v>No</v>
      </c>
    </row>
    <row r="14" spans="1:24" x14ac:dyDescent="0.3">
      <c r="A14" s="20">
        <v>13</v>
      </c>
      <c r="B14" s="20" t="s">
        <v>127</v>
      </c>
      <c r="C14" s="20" t="s">
        <v>47</v>
      </c>
      <c r="D14" s="20" t="s">
        <v>39</v>
      </c>
      <c r="E14" s="20" t="s">
        <v>128</v>
      </c>
      <c r="F14" s="20" t="s">
        <v>6</v>
      </c>
      <c r="G14" s="21">
        <v>25834</v>
      </c>
      <c r="H14" s="13">
        <v>51.1</v>
      </c>
      <c r="I14" s="20" t="s">
        <v>8</v>
      </c>
      <c r="J14" s="21">
        <v>22686</v>
      </c>
      <c r="K14" s="21">
        <v>3148</v>
      </c>
      <c r="L14" s="20" t="s">
        <v>129</v>
      </c>
      <c r="M14" s="20" t="s">
        <v>8</v>
      </c>
      <c r="N14" s="21">
        <v>26422</v>
      </c>
      <c r="O14" s="13">
        <v>49.61</v>
      </c>
      <c r="P14" s="20" t="s">
        <v>6</v>
      </c>
      <c r="Q14" s="21">
        <v>24336</v>
      </c>
      <c r="R14" s="21">
        <v>2086</v>
      </c>
      <c r="S14" s="11">
        <f t="shared" si="0"/>
        <v>6.2267864055121164E-2</v>
      </c>
      <c r="T14" s="11">
        <f t="shared" si="1"/>
        <v>3.9166777685262277E-2</v>
      </c>
      <c r="U14" s="6" t="str">
        <f t="shared" si="2"/>
        <v>Yes</v>
      </c>
      <c r="V14" s="6" t="str">
        <f t="shared" si="3"/>
        <v>BJP -&gt; CPI(M)</v>
      </c>
      <c r="W14" s="6" t="str">
        <f t="shared" si="4"/>
        <v>No</v>
      </c>
      <c r="X14" s="6" t="str">
        <f t="shared" si="5"/>
        <v>Yes</v>
      </c>
    </row>
    <row r="15" spans="1:24" x14ac:dyDescent="0.3">
      <c r="A15" s="20">
        <v>14</v>
      </c>
      <c r="B15" s="20" t="s">
        <v>130</v>
      </c>
      <c r="C15" s="20" t="s">
        <v>47</v>
      </c>
      <c r="D15" s="20" t="s">
        <v>39</v>
      </c>
      <c r="E15" s="20" t="s">
        <v>131</v>
      </c>
      <c r="F15" s="20" t="s">
        <v>6</v>
      </c>
      <c r="G15" s="21">
        <v>28561</v>
      </c>
      <c r="H15" s="13">
        <v>52.86</v>
      </c>
      <c r="I15" s="20" t="s">
        <v>8</v>
      </c>
      <c r="J15" s="21">
        <v>23113</v>
      </c>
      <c r="K15" s="21">
        <v>5448</v>
      </c>
      <c r="L15" s="20" t="s">
        <v>132</v>
      </c>
      <c r="M15" s="20" t="s">
        <v>6</v>
      </c>
      <c r="N15" s="21">
        <v>27427</v>
      </c>
      <c r="O15" s="13">
        <v>48.94</v>
      </c>
      <c r="P15" s="20" t="s">
        <v>114</v>
      </c>
      <c r="Q15" s="21">
        <v>26138</v>
      </c>
      <c r="R15" s="21">
        <v>1289</v>
      </c>
      <c r="S15" s="11">
        <f t="shared" si="0"/>
        <v>0.10083025104163018</v>
      </c>
      <c r="T15" s="11">
        <f t="shared" si="1"/>
        <v>2.3000568782586505E-2</v>
      </c>
      <c r="U15" s="6" t="str">
        <f t="shared" si="2"/>
        <v>No</v>
      </c>
      <c r="V15" s="6" t="str">
        <f t="shared" si="3"/>
        <v>BJP -&gt; BJP</v>
      </c>
      <c r="W15" s="6" t="str">
        <f t="shared" si="4"/>
        <v>No</v>
      </c>
      <c r="X15" s="6" t="str">
        <f t="shared" si="5"/>
        <v>Yes</v>
      </c>
    </row>
    <row r="16" spans="1:24" x14ac:dyDescent="0.3">
      <c r="A16" s="20">
        <v>15</v>
      </c>
      <c r="B16" s="20" t="s">
        <v>133</v>
      </c>
      <c r="C16" s="20" t="s">
        <v>48</v>
      </c>
      <c r="D16" s="20" t="s">
        <v>38</v>
      </c>
      <c r="E16" s="20" t="s">
        <v>134</v>
      </c>
      <c r="F16" s="20" t="s">
        <v>8</v>
      </c>
      <c r="G16" s="21">
        <v>18847</v>
      </c>
      <c r="H16" s="13">
        <v>49.99</v>
      </c>
      <c r="I16" s="20" t="s">
        <v>6</v>
      </c>
      <c r="J16" s="21">
        <v>16968</v>
      </c>
      <c r="K16" s="21">
        <v>1879</v>
      </c>
      <c r="L16" s="20" t="s">
        <v>135</v>
      </c>
      <c r="M16" s="20" t="s">
        <v>6</v>
      </c>
      <c r="N16" s="21">
        <v>19052</v>
      </c>
      <c r="O16" s="13">
        <v>47.39</v>
      </c>
      <c r="P16" s="20" t="s">
        <v>8</v>
      </c>
      <c r="Q16" s="21">
        <v>17308</v>
      </c>
      <c r="R16" s="21">
        <v>1744</v>
      </c>
      <c r="S16" s="11">
        <f t="shared" si="0"/>
        <v>4.9838812543110317E-2</v>
      </c>
      <c r="T16" s="11">
        <f t="shared" si="1"/>
        <v>4.338030652949821E-2</v>
      </c>
      <c r="U16" s="6" t="str">
        <f t="shared" si="2"/>
        <v>Yes</v>
      </c>
      <c r="V16" s="6" t="str">
        <f t="shared" si="3"/>
        <v>CPI(M) -&gt; BJP</v>
      </c>
      <c r="W16" s="6" t="str">
        <f t="shared" si="4"/>
        <v>Yes</v>
      </c>
      <c r="X16" s="6" t="str">
        <f t="shared" si="5"/>
        <v>Yes</v>
      </c>
    </row>
    <row r="17" spans="1:24" x14ac:dyDescent="0.3">
      <c r="A17" s="20">
        <v>16</v>
      </c>
      <c r="B17" s="20" t="s">
        <v>136</v>
      </c>
      <c r="C17" s="20" t="s">
        <v>48</v>
      </c>
      <c r="D17" s="20" t="s">
        <v>38</v>
      </c>
      <c r="E17" s="20" t="s">
        <v>137</v>
      </c>
      <c r="F17" s="20" t="s">
        <v>8</v>
      </c>
      <c r="G17" s="21">
        <v>21254</v>
      </c>
      <c r="H17" s="13">
        <v>48.43</v>
      </c>
      <c r="I17" s="20" t="s">
        <v>6</v>
      </c>
      <c r="J17" s="21">
        <v>20488</v>
      </c>
      <c r="K17" s="21">
        <v>766</v>
      </c>
      <c r="L17" s="20" t="s">
        <v>138</v>
      </c>
      <c r="M17" s="20" t="s">
        <v>6</v>
      </c>
      <c r="N17" s="21">
        <v>22314</v>
      </c>
      <c r="O17" s="13">
        <v>48.52</v>
      </c>
      <c r="P17" s="20" t="s">
        <v>8</v>
      </c>
      <c r="Q17" s="21">
        <v>20988</v>
      </c>
      <c r="R17" s="21">
        <v>1326</v>
      </c>
      <c r="S17" s="11">
        <f t="shared" si="0"/>
        <v>1.7454305071986451E-2</v>
      </c>
      <c r="T17" s="11">
        <f t="shared" si="1"/>
        <v>2.8832804517343373E-2</v>
      </c>
      <c r="U17" s="6" t="str">
        <f t="shared" si="2"/>
        <v>Yes</v>
      </c>
      <c r="V17" s="6" t="str">
        <f t="shared" si="3"/>
        <v>CPI(M) -&gt; BJP</v>
      </c>
      <c r="W17" s="6" t="str">
        <f t="shared" si="4"/>
        <v>Yes</v>
      </c>
      <c r="X17" s="6" t="str">
        <f t="shared" si="5"/>
        <v>Yes</v>
      </c>
    </row>
    <row r="18" spans="1:24" x14ac:dyDescent="0.3">
      <c r="A18" s="20">
        <v>17</v>
      </c>
      <c r="B18" s="20" t="s">
        <v>139</v>
      </c>
      <c r="C18" s="20" t="s">
        <v>48</v>
      </c>
      <c r="D18" s="20" t="s">
        <v>40</v>
      </c>
      <c r="E18" s="20" t="s">
        <v>140</v>
      </c>
      <c r="F18" s="20" t="s">
        <v>6</v>
      </c>
      <c r="G18" s="21">
        <v>19228</v>
      </c>
      <c r="H18" s="13">
        <v>52.62</v>
      </c>
      <c r="I18" s="20" t="s">
        <v>8</v>
      </c>
      <c r="J18" s="21">
        <v>15730</v>
      </c>
      <c r="K18" s="21">
        <v>3498</v>
      </c>
      <c r="L18" s="20" t="s">
        <v>141</v>
      </c>
      <c r="M18" s="20" t="s">
        <v>10</v>
      </c>
      <c r="N18" s="21">
        <v>19800</v>
      </c>
      <c r="O18" s="13">
        <v>50.79</v>
      </c>
      <c r="P18" s="20" t="s">
        <v>6</v>
      </c>
      <c r="Q18" s="21">
        <v>10602</v>
      </c>
      <c r="R18" s="21">
        <v>9198</v>
      </c>
      <c r="S18" s="11">
        <f t="shared" si="0"/>
        <v>9.5727459954233415E-2</v>
      </c>
      <c r="T18" s="11">
        <f t="shared" si="1"/>
        <v>0.23594263636363635</v>
      </c>
      <c r="U18" s="6" t="str">
        <f t="shared" si="2"/>
        <v>Yes</v>
      </c>
      <c r="V18" s="6" t="str">
        <f t="shared" si="3"/>
        <v>BJP -&gt; TMP</v>
      </c>
      <c r="W18" s="6" t="str">
        <f t="shared" si="4"/>
        <v>No</v>
      </c>
      <c r="X18" s="6" t="str">
        <f t="shared" si="5"/>
        <v>No</v>
      </c>
    </row>
    <row r="19" spans="1:24" x14ac:dyDescent="0.3">
      <c r="A19" s="20">
        <v>18</v>
      </c>
      <c r="B19" s="20" t="s">
        <v>142</v>
      </c>
      <c r="C19" s="20" t="s">
        <v>47</v>
      </c>
      <c r="D19" s="20" t="s">
        <v>38</v>
      </c>
      <c r="E19" s="20" t="s">
        <v>143</v>
      </c>
      <c r="F19" s="20" t="s">
        <v>6</v>
      </c>
      <c r="G19" s="21">
        <v>24874</v>
      </c>
      <c r="H19" s="13">
        <v>52.78</v>
      </c>
      <c r="I19" s="20" t="s">
        <v>8</v>
      </c>
      <c r="J19" s="21">
        <v>20307</v>
      </c>
      <c r="K19" s="21">
        <v>4567</v>
      </c>
      <c r="L19" s="20" t="s">
        <v>143</v>
      </c>
      <c r="M19" s="20" t="s">
        <v>6</v>
      </c>
      <c r="N19" s="21">
        <v>24991</v>
      </c>
      <c r="O19" s="13">
        <v>49.92</v>
      </c>
      <c r="P19" s="20" t="s">
        <v>9</v>
      </c>
      <c r="Q19" s="21">
        <v>23083</v>
      </c>
      <c r="R19" s="21">
        <v>1908</v>
      </c>
      <c r="S19" s="11">
        <f t="shared" si="0"/>
        <v>9.6906914850848277E-2</v>
      </c>
      <c r="T19" s="11">
        <f t="shared" si="1"/>
        <v>3.8112664559241331E-2</v>
      </c>
      <c r="U19" s="6" t="str">
        <f t="shared" si="2"/>
        <v>No</v>
      </c>
      <c r="V19" s="6" t="str">
        <f t="shared" si="3"/>
        <v>BJP -&gt; BJP</v>
      </c>
      <c r="W19" s="6" t="str">
        <f t="shared" si="4"/>
        <v>No</v>
      </c>
      <c r="X19" s="6" t="str">
        <f t="shared" si="5"/>
        <v>Yes</v>
      </c>
    </row>
    <row r="20" spans="1:24" x14ac:dyDescent="0.3">
      <c r="A20" s="20">
        <v>19</v>
      </c>
      <c r="B20" s="20" t="s">
        <v>144</v>
      </c>
      <c r="C20" s="20" t="s">
        <v>48</v>
      </c>
      <c r="D20" s="20" t="s">
        <v>40</v>
      </c>
      <c r="E20" s="20" t="s">
        <v>145</v>
      </c>
      <c r="F20" s="20" t="s">
        <v>6</v>
      </c>
      <c r="G20" s="21">
        <v>26580</v>
      </c>
      <c r="H20" s="13">
        <v>90.81</v>
      </c>
      <c r="I20" s="20" t="s">
        <v>8</v>
      </c>
      <c r="J20" s="21">
        <v>1030</v>
      </c>
      <c r="K20" s="21">
        <v>25550</v>
      </c>
      <c r="L20" s="20" t="s">
        <v>146</v>
      </c>
      <c r="M20" s="20" t="s">
        <v>10</v>
      </c>
      <c r="N20" s="21">
        <v>13657</v>
      </c>
      <c r="O20" s="13">
        <v>37.340000000000003</v>
      </c>
      <c r="P20" s="20" t="s">
        <v>6</v>
      </c>
      <c r="Q20" s="21">
        <v>12799</v>
      </c>
      <c r="R20" s="21">
        <v>858</v>
      </c>
      <c r="S20" s="11">
        <f t="shared" si="0"/>
        <v>0.87291027088036122</v>
      </c>
      <c r="T20" s="11">
        <f t="shared" si="1"/>
        <v>2.3458826975177569E-2</v>
      </c>
      <c r="U20" s="6" t="str">
        <f t="shared" si="2"/>
        <v>Yes</v>
      </c>
      <c r="V20" s="6" t="str">
        <f t="shared" si="3"/>
        <v>BJP -&gt; TMP</v>
      </c>
      <c r="W20" s="6" t="str">
        <f t="shared" si="4"/>
        <v>No</v>
      </c>
      <c r="X20" s="6" t="str">
        <f t="shared" si="5"/>
        <v>Yes</v>
      </c>
    </row>
    <row r="21" spans="1:24" x14ac:dyDescent="0.3">
      <c r="A21" s="20">
        <v>20</v>
      </c>
      <c r="B21" s="20" t="s">
        <v>147</v>
      </c>
      <c r="C21" s="20" t="s">
        <v>48</v>
      </c>
      <c r="D21" s="20" t="s">
        <v>38</v>
      </c>
      <c r="E21" s="20" t="s">
        <v>148</v>
      </c>
      <c r="F21" s="20" t="s">
        <v>8</v>
      </c>
      <c r="G21" s="21">
        <v>19862</v>
      </c>
      <c r="H21" s="13">
        <v>57.69</v>
      </c>
      <c r="I21" s="20" t="s">
        <v>6</v>
      </c>
      <c r="J21" s="21">
        <v>11847</v>
      </c>
      <c r="K21" s="21">
        <v>8015</v>
      </c>
      <c r="L21" s="20" t="s">
        <v>149</v>
      </c>
      <c r="M21" s="20" t="s">
        <v>8</v>
      </c>
      <c r="N21" s="21">
        <v>19404</v>
      </c>
      <c r="O21" s="13">
        <v>50.34</v>
      </c>
      <c r="P21" s="20" t="s">
        <v>6</v>
      </c>
      <c r="Q21" s="21">
        <v>14555</v>
      </c>
      <c r="R21" s="21">
        <v>4849</v>
      </c>
      <c r="S21" s="11">
        <f t="shared" si="0"/>
        <v>0.23279898801731952</v>
      </c>
      <c r="T21" s="11">
        <f t="shared" si="1"/>
        <v>0.12579811379097094</v>
      </c>
      <c r="U21" s="6" t="str">
        <f t="shared" si="2"/>
        <v>No</v>
      </c>
      <c r="V21" s="6" t="str">
        <f t="shared" si="3"/>
        <v>CPI(M) -&gt; CPI(M)</v>
      </c>
      <c r="W21" s="6" t="str">
        <f t="shared" si="4"/>
        <v>No</v>
      </c>
      <c r="X21" s="6" t="str">
        <f t="shared" si="5"/>
        <v>No</v>
      </c>
    </row>
    <row r="22" spans="1:24" x14ac:dyDescent="0.3">
      <c r="A22" s="20">
        <v>21</v>
      </c>
      <c r="B22" s="20" t="s">
        <v>150</v>
      </c>
      <c r="C22" s="20" t="s">
        <v>48</v>
      </c>
      <c r="D22" s="20" t="s">
        <v>39</v>
      </c>
      <c r="E22" s="20" t="s">
        <v>151</v>
      </c>
      <c r="F22" s="20" t="s">
        <v>6</v>
      </c>
      <c r="G22" s="21">
        <v>19261</v>
      </c>
      <c r="H22" s="13">
        <v>48.48</v>
      </c>
      <c r="I22" s="20" t="s">
        <v>8</v>
      </c>
      <c r="J22" s="21">
        <v>18810</v>
      </c>
      <c r="K22" s="21">
        <v>451</v>
      </c>
      <c r="L22" s="20" t="s">
        <v>152</v>
      </c>
      <c r="M22" s="20" t="s">
        <v>6</v>
      </c>
      <c r="N22" s="21">
        <v>20836</v>
      </c>
      <c r="O22" s="13">
        <v>49.95</v>
      </c>
      <c r="P22" s="20" t="s">
        <v>8</v>
      </c>
      <c r="Q22" s="21">
        <v>18452</v>
      </c>
      <c r="R22" s="21">
        <v>2384</v>
      </c>
      <c r="S22" s="11">
        <f t="shared" si="0"/>
        <v>1.1351684751570531E-2</v>
      </c>
      <c r="T22" s="11">
        <f t="shared" si="1"/>
        <v>5.7151468612017663E-2</v>
      </c>
      <c r="U22" s="6" t="str">
        <f t="shared" si="2"/>
        <v>No</v>
      </c>
      <c r="V22" s="6" t="str">
        <f t="shared" si="3"/>
        <v>BJP -&gt; BJP</v>
      </c>
      <c r="W22" s="6" t="str">
        <f t="shared" si="4"/>
        <v>Yes</v>
      </c>
      <c r="X22" s="6" t="str">
        <f t="shared" si="5"/>
        <v>No</v>
      </c>
    </row>
    <row r="23" spans="1:24" x14ac:dyDescent="0.3">
      <c r="A23" s="20">
        <v>22</v>
      </c>
      <c r="B23" s="20" t="s">
        <v>153</v>
      </c>
      <c r="C23" s="20" t="s">
        <v>48</v>
      </c>
      <c r="D23" s="20" t="s">
        <v>38</v>
      </c>
      <c r="E23" s="20" t="s">
        <v>154</v>
      </c>
      <c r="F23" s="20" t="s">
        <v>8</v>
      </c>
      <c r="G23" s="21">
        <v>19275</v>
      </c>
      <c r="H23" s="13">
        <v>51.65</v>
      </c>
      <c r="I23" s="20" t="s">
        <v>6</v>
      </c>
      <c r="J23" s="21">
        <v>15843</v>
      </c>
      <c r="K23" s="21">
        <v>3432</v>
      </c>
      <c r="L23" s="20" t="s">
        <v>154</v>
      </c>
      <c r="M23" s="20" t="s">
        <v>8</v>
      </c>
      <c r="N23" s="21">
        <v>20039</v>
      </c>
      <c r="O23" s="13">
        <v>50.47</v>
      </c>
      <c r="P23" s="20" t="s">
        <v>6</v>
      </c>
      <c r="Q23" s="21">
        <v>17624</v>
      </c>
      <c r="R23" s="21">
        <v>2415</v>
      </c>
      <c r="S23" s="11">
        <f t="shared" si="0"/>
        <v>9.1965136186770421E-2</v>
      </c>
      <c r="T23" s="11">
        <f t="shared" si="1"/>
        <v>6.0823918359199564E-2</v>
      </c>
      <c r="U23" s="6" t="str">
        <f t="shared" si="2"/>
        <v>No</v>
      </c>
      <c r="V23" s="6" t="str">
        <f t="shared" si="3"/>
        <v>CPI(M) -&gt; CPI(M)</v>
      </c>
      <c r="W23" s="6" t="str">
        <f t="shared" si="4"/>
        <v>No</v>
      </c>
      <c r="X23" s="6" t="str">
        <f t="shared" si="5"/>
        <v>No</v>
      </c>
    </row>
    <row r="24" spans="1:24" x14ac:dyDescent="0.3">
      <c r="A24" s="20">
        <v>23</v>
      </c>
      <c r="B24" s="20" t="s">
        <v>155</v>
      </c>
      <c r="C24" s="20" t="s">
        <v>48</v>
      </c>
      <c r="D24" s="20" t="s">
        <v>38</v>
      </c>
      <c r="E24" s="20" t="s">
        <v>156</v>
      </c>
      <c r="F24" s="20" t="s">
        <v>8</v>
      </c>
      <c r="G24" s="21">
        <v>22176</v>
      </c>
      <c r="H24" s="13">
        <v>54.43</v>
      </c>
      <c r="I24" s="20" t="s">
        <v>6</v>
      </c>
      <c r="J24" s="21">
        <v>16735</v>
      </c>
      <c r="K24" s="21">
        <v>5441</v>
      </c>
      <c r="L24" s="20" t="s">
        <v>157</v>
      </c>
      <c r="M24" s="20" t="s">
        <v>6</v>
      </c>
      <c r="N24" s="21">
        <v>19148</v>
      </c>
      <c r="O24" s="13">
        <v>42.25</v>
      </c>
      <c r="P24" s="20" t="s">
        <v>8</v>
      </c>
      <c r="Q24" s="21">
        <v>15648</v>
      </c>
      <c r="R24" s="21">
        <v>3500</v>
      </c>
      <c r="S24" s="11">
        <f t="shared" si="0"/>
        <v>0.13354691107503608</v>
      </c>
      <c r="T24" s="11">
        <f t="shared" si="1"/>
        <v>7.7227386672237303E-2</v>
      </c>
      <c r="U24" s="6" t="str">
        <f t="shared" si="2"/>
        <v>Yes</v>
      </c>
      <c r="V24" s="6" t="str">
        <f t="shared" si="3"/>
        <v>CPI(M) -&gt; BJP</v>
      </c>
      <c r="W24" s="6" t="str">
        <f t="shared" si="4"/>
        <v>No</v>
      </c>
      <c r="X24" s="6" t="str">
        <f t="shared" si="5"/>
        <v>No</v>
      </c>
    </row>
    <row r="25" spans="1:24" x14ac:dyDescent="0.3">
      <c r="A25" s="20">
        <v>24</v>
      </c>
      <c r="B25" s="20" t="s">
        <v>158</v>
      </c>
      <c r="C25" s="20" t="s">
        <v>49</v>
      </c>
      <c r="D25" s="20" t="s">
        <v>40</v>
      </c>
      <c r="E25" s="20" t="s">
        <v>159</v>
      </c>
      <c r="F25" s="20" t="s">
        <v>7</v>
      </c>
      <c r="G25" s="21">
        <v>19439</v>
      </c>
      <c r="H25" s="13">
        <v>53.3</v>
      </c>
      <c r="I25" s="20" t="s">
        <v>8</v>
      </c>
      <c r="J25" s="21">
        <v>15204</v>
      </c>
      <c r="K25" s="21">
        <v>4235</v>
      </c>
      <c r="L25" s="20" t="s">
        <v>160</v>
      </c>
      <c r="M25" s="20" t="s">
        <v>10</v>
      </c>
      <c r="N25" s="21">
        <v>23143</v>
      </c>
      <c r="O25" s="13">
        <v>60.87</v>
      </c>
      <c r="P25" s="20" t="s">
        <v>8</v>
      </c>
      <c r="Q25" s="21">
        <v>6941</v>
      </c>
      <c r="R25" s="21">
        <v>16202</v>
      </c>
      <c r="S25" s="11">
        <f t="shared" si="0"/>
        <v>0.1161199135758012</v>
      </c>
      <c r="T25" s="11">
        <f t="shared" si="1"/>
        <v>0.42613997321004193</v>
      </c>
      <c r="U25" s="6" t="str">
        <f t="shared" si="2"/>
        <v>Yes</v>
      </c>
      <c r="V25" s="6" t="str">
        <f t="shared" si="3"/>
        <v>IPFT -&gt; TMP</v>
      </c>
      <c r="W25" s="6" t="str">
        <f t="shared" si="4"/>
        <v>No</v>
      </c>
      <c r="X25" s="6" t="str">
        <f t="shared" si="5"/>
        <v>No</v>
      </c>
    </row>
    <row r="26" spans="1:24" x14ac:dyDescent="0.3">
      <c r="A26" s="20">
        <v>25</v>
      </c>
      <c r="B26" s="20" t="s">
        <v>49</v>
      </c>
      <c r="C26" s="20" t="s">
        <v>49</v>
      </c>
      <c r="D26" s="20" t="s">
        <v>38</v>
      </c>
      <c r="E26" s="20" t="s">
        <v>161</v>
      </c>
      <c r="F26" s="20" t="s">
        <v>8</v>
      </c>
      <c r="G26" s="21">
        <v>20629</v>
      </c>
      <c r="H26" s="13">
        <v>51.57</v>
      </c>
      <c r="I26" s="20" t="s">
        <v>6</v>
      </c>
      <c r="J26" s="21">
        <v>17893</v>
      </c>
      <c r="K26" s="21">
        <v>2736</v>
      </c>
      <c r="L26" s="20" t="s">
        <v>161</v>
      </c>
      <c r="M26" s="20" t="s">
        <v>8</v>
      </c>
      <c r="N26" s="21">
        <v>19696</v>
      </c>
      <c r="O26" s="13">
        <v>49.73</v>
      </c>
      <c r="P26" s="20" t="s">
        <v>6</v>
      </c>
      <c r="Q26" s="21">
        <v>18656</v>
      </c>
      <c r="R26" s="21">
        <v>1040</v>
      </c>
      <c r="S26" s="11">
        <f t="shared" si="0"/>
        <v>6.8396684279412492E-2</v>
      </c>
      <c r="T26" s="11">
        <f t="shared" si="1"/>
        <v>2.6258732737611697E-2</v>
      </c>
      <c r="U26" s="6" t="str">
        <f t="shared" si="2"/>
        <v>No</v>
      </c>
      <c r="V26" s="6" t="str">
        <f t="shared" si="3"/>
        <v>CPI(M) -&gt; CPI(M)</v>
      </c>
      <c r="W26" s="6" t="str">
        <f t="shared" si="4"/>
        <v>No</v>
      </c>
      <c r="X26" s="6" t="str">
        <f t="shared" si="5"/>
        <v>Yes</v>
      </c>
    </row>
    <row r="27" spans="1:24" x14ac:dyDescent="0.3">
      <c r="A27" s="20">
        <v>26</v>
      </c>
      <c r="B27" s="20" t="s">
        <v>162</v>
      </c>
      <c r="C27" s="20" t="s">
        <v>49</v>
      </c>
      <c r="D27" s="20" t="s">
        <v>40</v>
      </c>
      <c r="E27" s="20" t="s">
        <v>163</v>
      </c>
      <c r="F27" s="20" t="s">
        <v>7</v>
      </c>
      <c r="G27" s="21">
        <v>19188</v>
      </c>
      <c r="H27" s="13">
        <v>57.34</v>
      </c>
      <c r="I27" s="20" t="s">
        <v>8</v>
      </c>
      <c r="J27" s="21">
        <v>12201</v>
      </c>
      <c r="K27" s="21">
        <v>6987</v>
      </c>
      <c r="L27" s="20" t="s">
        <v>164</v>
      </c>
      <c r="M27" s="20" t="s">
        <v>10</v>
      </c>
      <c r="N27" s="21">
        <v>23838</v>
      </c>
      <c r="O27" s="13">
        <v>66.56</v>
      </c>
      <c r="P27" s="20" t="s">
        <v>7</v>
      </c>
      <c r="Q27" s="21">
        <v>5510</v>
      </c>
      <c r="R27" s="21">
        <v>18328</v>
      </c>
      <c r="S27" s="11">
        <f t="shared" si="0"/>
        <v>0.20879434021263291</v>
      </c>
      <c r="T27" s="11">
        <f t="shared" si="1"/>
        <v>0.51175085158150857</v>
      </c>
      <c r="U27" s="6" t="str">
        <f t="shared" si="2"/>
        <v>Yes</v>
      </c>
      <c r="V27" s="6" t="str">
        <f t="shared" si="3"/>
        <v>IPFT -&gt; TMP</v>
      </c>
      <c r="W27" s="6" t="str">
        <f t="shared" si="4"/>
        <v>No</v>
      </c>
      <c r="X27" s="6" t="str">
        <f t="shared" si="5"/>
        <v>No</v>
      </c>
    </row>
    <row r="28" spans="1:24" x14ac:dyDescent="0.3">
      <c r="A28" s="20">
        <v>27</v>
      </c>
      <c r="B28" s="20" t="s">
        <v>165</v>
      </c>
      <c r="C28" s="20" t="s">
        <v>49</v>
      </c>
      <c r="D28" s="20" t="s">
        <v>38</v>
      </c>
      <c r="E28" s="20" t="s">
        <v>166</v>
      </c>
      <c r="F28" s="20" t="s">
        <v>6</v>
      </c>
      <c r="G28" s="21">
        <v>20293</v>
      </c>
      <c r="H28" s="13">
        <v>52.01</v>
      </c>
      <c r="I28" s="20" t="s">
        <v>8</v>
      </c>
      <c r="J28" s="21">
        <v>17152</v>
      </c>
      <c r="K28" s="21">
        <v>3141</v>
      </c>
      <c r="L28" s="20" t="s">
        <v>166</v>
      </c>
      <c r="M28" s="20" t="s">
        <v>6</v>
      </c>
      <c r="N28" s="21">
        <v>17903</v>
      </c>
      <c r="O28" s="13">
        <v>43.59</v>
      </c>
      <c r="P28" s="20" t="s">
        <v>10</v>
      </c>
      <c r="Q28" s="21">
        <v>11290</v>
      </c>
      <c r="R28" s="21">
        <v>6613</v>
      </c>
      <c r="S28" s="11">
        <f t="shared" si="0"/>
        <v>8.0502345636426359E-2</v>
      </c>
      <c r="T28" s="11">
        <f t="shared" si="1"/>
        <v>0.16101249511255097</v>
      </c>
      <c r="U28" s="6" t="str">
        <f t="shared" si="2"/>
        <v>No</v>
      </c>
      <c r="V28" s="6" t="str">
        <f t="shared" si="3"/>
        <v>BJP -&gt; BJP</v>
      </c>
      <c r="W28" s="6" t="str">
        <f t="shared" si="4"/>
        <v>No</v>
      </c>
      <c r="X28" s="6" t="str">
        <f t="shared" si="5"/>
        <v>No</v>
      </c>
    </row>
    <row r="29" spans="1:24" x14ac:dyDescent="0.3">
      <c r="A29" s="20">
        <v>28</v>
      </c>
      <c r="B29" s="20" t="s">
        <v>167</v>
      </c>
      <c r="C29" s="20" t="s">
        <v>49</v>
      </c>
      <c r="D29" s="20" t="s">
        <v>38</v>
      </c>
      <c r="E29" s="20" t="s">
        <v>168</v>
      </c>
      <c r="F29" s="20" t="s">
        <v>6</v>
      </c>
      <c r="G29" s="21">
        <v>22077</v>
      </c>
      <c r="H29" s="13">
        <v>56.37</v>
      </c>
      <c r="I29" s="20" t="s">
        <v>8</v>
      </c>
      <c r="J29" s="21">
        <v>14898</v>
      </c>
      <c r="K29" s="21">
        <v>7179</v>
      </c>
      <c r="L29" s="20" t="s">
        <v>168</v>
      </c>
      <c r="M29" s="20" t="s">
        <v>6</v>
      </c>
      <c r="N29" s="21">
        <v>16755</v>
      </c>
      <c r="O29" s="13">
        <v>42.1</v>
      </c>
      <c r="P29" s="20" t="s">
        <v>9</v>
      </c>
      <c r="Q29" s="21">
        <v>12603</v>
      </c>
      <c r="R29" s="21">
        <v>4152</v>
      </c>
      <c r="S29" s="11">
        <f t="shared" si="0"/>
        <v>0.183303995108031</v>
      </c>
      <c r="T29" s="11">
        <f t="shared" si="1"/>
        <v>0.10432658907788722</v>
      </c>
      <c r="U29" s="6" t="str">
        <f t="shared" si="2"/>
        <v>No</v>
      </c>
      <c r="V29" s="6" t="str">
        <f t="shared" si="3"/>
        <v>BJP -&gt; BJP</v>
      </c>
      <c r="W29" s="6" t="str">
        <f t="shared" si="4"/>
        <v>No</v>
      </c>
      <c r="X29" s="6" t="str">
        <f t="shared" si="5"/>
        <v>No</v>
      </c>
    </row>
    <row r="30" spans="1:24" x14ac:dyDescent="0.3">
      <c r="A30" s="20">
        <v>29</v>
      </c>
      <c r="B30" s="20" t="s">
        <v>169</v>
      </c>
      <c r="C30" s="20" t="s">
        <v>49</v>
      </c>
      <c r="D30" s="20" t="s">
        <v>40</v>
      </c>
      <c r="E30" s="20" t="s">
        <v>170</v>
      </c>
      <c r="F30" s="20" t="s">
        <v>6</v>
      </c>
      <c r="G30" s="21">
        <v>16730</v>
      </c>
      <c r="H30" s="13">
        <v>51.21</v>
      </c>
      <c r="I30" s="20" t="s">
        <v>8</v>
      </c>
      <c r="J30" s="21">
        <v>14735</v>
      </c>
      <c r="K30" s="21">
        <v>1995</v>
      </c>
      <c r="L30" s="20" t="s">
        <v>171</v>
      </c>
      <c r="M30" s="20" t="s">
        <v>6</v>
      </c>
      <c r="N30" s="21">
        <v>13800</v>
      </c>
      <c r="O30" s="13">
        <v>39.97</v>
      </c>
      <c r="P30" s="20" t="s">
        <v>10</v>
      </c>
      <c r="Q30" s="21">
        <v>11162</v>
      </c>
      <c r="R30" s="21">
        <v>2638</v>
      </c>
      <c r="S30" s="11">
        <f t="shared" si="0"/>
        <v>6.1066317991631799E-2</v>
      </c>
      <c r="T30" s="11">
        <f t="shared" si="1"/>
        <v>7.6406420289855073E-2</v>
      </c>
      <c r="U30" s="6" t="str">
        <f t="shared" si="2"/>
        <v>No</v>
      </c>
      <c r="V30" s="6" t="str">
        <f t="shared" si="3"/>
        <v>BJP -&gt; BJP</v>
      </c>
      <c r="W30" s="6" t="str">
        <f t="shared" si="4"/>
        <v>No</v>
      </c>
      <c r="X30" s="6" t="str">
        <f t="shared" si="5"/>
        <v>No</v>
      </c>
    </row>
    <row r="31" spans="1:24" x14ac:dyDescent="0.3">
      <c r="A31" s="20">
        <v>30</v>
      </c>
      <c r="B31" s="20" t="s">
        <v>172</v>
      </c>
      <c r="C31" s="20" t="s">
        <v>50</v>
      </c>
      <c r="D31" s="20" t="s">
        <v>40</v>
      </c>
      <c r="E31" s="20" t="s">
        <v>173</v>
      </c>
      <c r="F31" s="20" t="s">
        <v>6</v>
      </c>
      <c r="G31" s="21">
        <v>24074</v>
      </c>
      <c r="H31" s="13">
        <v>50.85</v>
      </c>
      <c r="I31" s="20" t="s">
        <v>8</v>
      </c>
      <c r="J31" s="21">
        <v>21241</v>
      </c>
      <c r="K31" s="21">
        <v>2833</v>
      </c>
      <c r="L31" s="20" t="s">
        <v>173</v>
      </c>
      <c r="M31" s="20" t="s">
        <v>6</v>
      </c>
      <c r="N31" s="21">
        <v>19482</v>
      </c>
      <c r="O31" s="13">
        <v>38.74</v>
      </c>
      <c r="P31" s="20" t="s">
        <v>10</v>
      </c>
      <c r="Q31" s="21">
        <v>17399</v>
      </c>
      <c r="R31" s="21">
        <v>2083</v>
      </c>
      <c r="S31" s="11">
        <f t="shared" si="0"/>
        <v>5.983968181440559E-2</v>
      </c>
      <c r="T31" s="11">
        <f t="shared" si="1"/>
        <v>4.1420500975259213E-2</v>
      </c>
      <c r="U31" s="6" t="str">
        <f t="shared" si="2"/>
        <v>No</v>
      </c>
      <c r="V31" s="6" t="str">
        <f t="shared" si="3"/>
        <v>BJP -&gt; BJP</v>
      </c>
      <c r="W31" s="6" t="str">
        <f t="shared" si="4"/>
        <v>No</v>
      </c>
      <c r="X31" s="6" t="str">
        <f t="shared" si="5"/>
        <v>Yes</v>
      </c>
    </row>
    <row r="32" spans="1:24" x14ac:dyDescent="0.3">
      <c r="A32" s="20">
        <v>31</v>
      </c>
      <c r="B32" s="20" t="s">
        <v>174</v>
      </c>
      <c r="C32" s="20" t="s">
        <v>50</v>
      </c>
      <c r="D32" s="20" t="s">
        <v>38</v>
      </c>
      <c r="E32" s="20" t="s">
        <v>175</v>
      </c>
      <c r="F32" s="20" t="s">
        <v>6</v>
      </c>
      <c r="G32" s="21">
        <v>22414</v>
      </c>
      <c r="H32" s="13">
        <v>52.54</v>
      </c>
      <c r="I32" s="20" t="s">
        <v>176</v>
      </c>
      <c r="J32" s="21">
        <v>17568</v>
      </c>
      <c r="K32" s="21">
        <v>4846</v>
      </c>
      <c r="L32" s="20" t="s">
        <v>177</v>
      </c>
      <c r="M32" s="20" t="s">
        <v>6</v>
      </c>
      <c r="N32" s="21">
        <v>24421</v>
      </c>
      <c r="O32" s="13">
        <v>56.07</v>
      </c>
      <c r="P32" s="20" t="s">
        <v>176</v>
      </c>
      <c r="Q32" s="21">
        <v>17007</v>
      </c>
      <c r="R32" s="21">
        <v>7414</v>
      </c>
      <c r="S32" s="11">
        <f t="shared" si="0"/>
        <v>0.11359366467386453</v>
      </c>
      <c r="T32" s="11">
        <f t="shared" si="1"/>
        <v>0.17022356987838336</v>
      </c>
      <c r="U32" s="6" t="str">
        <f t="shared" si="2"/>
        <v>No</v>
      </c>
      <c r="V32" s="6" t="str">
        <f t="shared" si="3"/>
        <v>BJP -&gt; BJP</v>
      </c>
      <c r="W32" s="6" t="str">
        <f t="shared" si="4"/>
        <v>No</v>
      </c>
      <c r="X32" s="6" t="str">
        <f t="shared" si="5"/>
        <v>No</v>
      </c>
    </row>
    <row r="33" spans="1:24" x14ac:dyDescent="0.3">
      <c r="A33" s="20">
        <v>32</v>
      </c>
      <c r="B33" s="20" t="s">
        <v>178</v>
      </c>
      <c r="C33" s="20" t="s">
        <v>50</v>
      </c>
      <c r="D33" s="20" t="s">
        <v>38</v>
      </c>
      <c r="E33" s="20" t="s">
        <v>179</v>
      </c>
      <c r="F33" s="20" t="s">
        <v>6</v>
      </c>
      <c r="G33" s="21">
        <v>23069</v>
      </c>
      <c r="H33" s="13">
        <v>49.79</v>
      </c>
      <c r="I33" s="20" t="s">
        <v>8</v>
      </c>
      <c r="J33" s="21">
        <v>21500</v>
      </c>
      <c r="K33" s="21">
        <v>1569</v>
      </c>
      <c r="L33" s="20" t="s">
        <v>180</v>
      </c>
      <c r="M33" s="20" t="s">
        <v>6</v>
      </c>
      <c r="N33" s="21">
        <v>25494</v>
      </c>
      <c r="O33" s="13">
        <v>51.06</v>
      </c>
      <c r="P33" s="20" t="s">
        <v>9</v>
      </c>
      <c r="Q33" s="21">
        <v>16453</v>
      </c>
      <c r="R33" s="21">
        <v>9041</v>
      </c>
      <c r="S33" s="11">
        <f t="shared" si="0"/>
        <v>3.3863847587671768E-2</v>
      </c>
      <c r="T33" s="11">
        <f t="shared" si="1"/>
        <v>0.18107533537302894</v>
      </c>
      <c r="U33" s="6" t="str">
        <f t="shared" si="2"/>
        <v>No</v>
      </c>
      <c r="V33" s="6" t="str">
        <f t="shared" si="3"/>
        <v>BJP -&gt; BJP</v>
      </c>
      <c r="W33" s="6" t="str">
        <f t="shared" si="4"/>
        <v>Yes</v>
      </c>
      <c r="X33" s="6" t="str">
        <f t="shared" si="5"/>
        <v>No</v>
      </c>
    </row>
    <row r="34" spans="1:24" x14ac:dyDescent="0.3">
      <c r="A34" s="20">
        <v>33</v>
      </c>
      <c r="B34" s="20" t="s">
        <v>181</v>
      </c>
      <c r="C34" s="20" t="s">
        <v>50</v>
      </c>
      <c r="D34" s="20" t="s">
        <v>39</v>
      </c>
      <c r="E34" s="20" t="s">
        <v>182</v>
      </c>
      <c r="F34" s="20" t="s">
        <v>8</v>
      </c>
      <c r="G34" s="21">
        <v>24835</v>
      </c>
      <c r="H34" s="13">
        <v>52.95</v>
      </c>
      <c r="I34" s="20" t="s">
        <v>6</v>
      </c>
      <c r="J34" s="21">
        <v>21068</v>
      </c>
      <c r="K34" s="21">
        <v>3767</v>
      </c>
      <c r="L34" s="20" t="s">
        <v>183</v>
      </c>
      <c r="M34" s="20" t="s">
        <v>6</v>
      </c>
      <c r="N34" s="21">
        <v>23625</v>
      </c>
      <c r="O34" s="13">
        <v>48.17</v>
      </c>
      <c r="P34" s="20" t="s">
        <v>8</v>
      </c>
      <c r="Q34" s="21">
        <v>18574</v>
      </c>
      <c r="R34" s="21">
        <v>5051</v>
      </c>
      <c r="S34" s="11">
        <f t="shared" ref="S34:S61" si="6">IF(H34&gt;0,K34/(G34/(H34/100)),"")</f>
        <v>8.031513992349508E-2</v>
      </c>
      <c r="T34" s="11">
        <f t="shared" ref="T34:T61" si="7">IF(O34&gt;0,R34/(N34/(O34/100)),"")</f>
        <v>0.10298695026455026</v>
      </c>
      <c r="U34" s="6" t="str">
        <f t="shared" ref="U34:U61" si="8">IF(F34=M34,"No","Yes")</f>
        <v>Yes</v>
      </c>
      <c r="V34" s="6" t="str">
        <f t="shared" ref="V34:V61" si="9">F34&amp;" -&gt; "&amp;M34</f>
        <v>CPI(M) -&gt; BJP</v>
      </c>
      <c r="W34" s="6" t="str">
        <f t="shared" ref="W34:W61" si="10">IF(S34&lt;0.05,"Yes","No")</f>
        <v>No</v>
      </c>
      <c r="X34" s="6" t="str">
        <f t="shared" ref="X34:X61" si="11">IF(T34&lt;0.05,"Yes","No")</f>
        <v>No</v>
      </c>
    </row>
    <row r="35" spans="1:24" x14ac:dyDescent="0.3">
      <c r="A35" s="20">
        <v>34</v>
      </c>
      <c r="B35" s="20" t="s">
        <v>184</v>
      </c>
      <c r="C35" s="20" t="s">
        <v>51</v>
      </c>
      <c r="D35" s="20" t="s">
        <v>39</v>
      </c>
      <c r="E35" s="20" t="s">
        <v>185</v>
      </c>
      <c r="F35" s="20" t="s">
        <v>8</v>
      </c>
      <c r="G35" s="21">
        <v>22004</v>
      </c>
      <c r="H35" s="13">
        <v>55.28</v>
      </c>
      <c r="I35" s="20" t="s">
        <v>6</v>
      </c>
      <c r="J35" s="21">
        <v>16291</v>
      </c>
      <c r="K35" s="21">
        <v>5713</v>
      </c>
      <c r="L35" s="20" t="s">
        <v>186</v>
      </c>
      <c r="M35" s="20" t="s">
        <v>6</v>
      </c>
      <c r="N35" s="21">
        <v>20849</v>
      </c>
      <c r="O35" s="13">
        <v>48.07</v>
      </c>
      <c r="P35" s="20" t="s">
        <v>8</v>
      </c>
      <c r="Q35" s="21">
        <v>19514</v>
      </c>
      <c r="R35" s="21">
        <v>1335</v>
      </c>
      <c r="S35" s="11">
        <f t="shared" si="6"/>
        <v>0.14352601345209962</v>
      </c>
      <c r="T35" s="11">
        <f t="shared" si="7"/>
        <v>3.0780109357762965E-2</v>
      </c>
      <c r="U35" s="6" t="str">
        <f t="shared" si="8"/>
        <v>Yes</v>
      </c>
      <c r="V35" s="6" t="str">
        <f t="shared" si="9"/>
        <v>CPI(M) -&gt; BJP</v>
      </c>
      <c r="W35" s="6" t="str">
        <f t="shared" si="10"/>
        <v>No</v>
      </c>
      <c r="X35" s="6" t="str">
        <f t="shared" si="11"/>
        <v>Yes</v>
      </c>
    </row>
    <row r="36" spans="1:24" x14ac:dyDescent="0.3">
      <c r="A36" s="20">
        <v>35</v>
      </c>
      <c r="B36" s="20" t="s">
        <v>187</v>
      </c>
      <c r="C36" s="20" t="s">
        <v>51</v>
      </c>
      <c r="D36" s="20" t="s">
        <v>38</v>
      </c>
      <c r="E36" s="20" t="s">
        <v>188</v>
      </c>
      <c r="F36" s="20" t="s">
        <v>6</v>
      </c>
      <c r="G36" s="21">
        <v>19307</v>
      </c>
      <c r="H36" s="13">
        <v>48.45</v>
      </c>
      <c r="I36" s="20" t="s">
        <v>8</v>
      </c>
      <c r="J36" s="21">
        <v>18554</v>
      </c>
      <c r="K36" s="21">
        <v>753</v>
      </c>
      <c r="L36" s="20" t="s">
        <v>189</v>
      </c>
      <c r="M36" s="20" t="s">
        <v>8</v>
      </c>
      <c r="N36" s="21">
        <v>20016</v>
      </c>
      <c r="O36" s="13">
        <v>48.27</v>
      </c>
      <c r="P36" s="20" t="s">
        <v>6</v>
      </c>
      <c r="Q36" s="21">
        <v>19613</v>
      </c>
      <c r="R36" s="21">
        <v>403</v>
      </c>
      <c r="S36" s="11">
        <f t="shared" si="6"/>
        <v>1.8896177552183147E-2</v>
      </c>
      <c r="T36" s="11">
        <f t="shared" si="7"/>
        <v>9.7186300959232613E-3</v>
      </c>
      <c r="U36" s="6" t="str">
        <f t="shared" si="8"/>
        <v>Yes</v>
      </c>
      <c r="V36" s="6" t="str">
        <f t="shared" si="9"/>
        <v>BJP -&gt; CPI(M)</v>
      </c>
      <c r="W36" s="6" t="str">
        <f t="shared" si="10"/>
        <v>Yes</v>
      </c>
      <c r="X36" s="6" t="str">
        <f t="shared" si="11"/>
        <v>Yes</v>
      </c>
    </row>
    <row r="37" spans="1:24" x14ac:dyDescent="0.3">
      <c r="A37" s="20">
        <v>36</v>
      </c>
      <c r="B37" s="20" t="s">
        <v>190</v>
      </c>
      <c r="C37" s="20" t="s">
        <v>51</v>
      </c>
      <c r="D37" s="20" t="s">
        <v>40</v>
      </c>
      <c r="E37" s="20" t="s">
        <v>191</v>
      </c>
      <c r="F37" s="20" t="s">
        <v>6</v>
      </c>
      <c r="G37" s="21">
        <v>21701</v>
      </c>
      <c r="H37" s="13">
        <v>50.88</v>
      </c>
      <c r="I37" s="20" t="s">
        <v>192</v>
      </c>
      <c r="J37" s="21">
        <v>19352</v>
      </c>
      <c r="K37" s="21">
        <v>2349</v>
      </c>
      <c r="L37" s="20" t="s">
        <v>191</v>
      </c>
      <c r="M37" s="20" t="s">
        <v>6</v>
      </c>
      <c r="N37" s="21">
        <v>18709</v>
      </c>
      <c r="O37" s="13">
        <v>40.04</v>
      </c>
      <c r="P37" s="20" t="s">
        <v>10</v>
      </c>
      <c r="Q37" s="21">
        <v>14615</v>
      </c>
      <c r="R37" s="21">
        <v>4094</v>
      </c>
      <c r="S37" s="11">
        <f t="shared" si="6"/>
        <v>5.5074475830606887E-2</v>
      </c>
      <c r="T37" s="11">
        <f t="shared" si="7"/>
        <v>8.7617595809503443E-2</v>
      </c>
      <c r="U37" s="6" t="str">
        <f t="shared" si="8"/>
        <v>No</v>
      </c>
      <c r="V37" s="6" t="str">
        <f t="shared" si="9"/>
        <v>BJP -&gt; BJP</v>
      </c>
      <c r="W37" s="6" t="str">
        <f t="shared" si="10"/>
        <v>No</v>
      </c>
      <c r="X37" s="6" t="str">
        <f t="shared" si="11"/>
        <v>No</v>
      </c>
    </row>
    <row r="38" spans="1:24" x14ac:dyDescent="0.3">
      <c r="A38" s="20">
        <v>37</v>
      </c>
      <c r="B38" s="20" t="s">
        <v>193</v>
      </c>
      <c r="C38" s="20" t="s">
        <v>51</v>
      </c>
      <c r="D38" s="20" t="s">
        <v>38</v>
      </c>
      <c r="E38" s="20" t="s">
        <v>194</v>
      </c>
      <c r="F38" s="20" t="s">
        <v>8</v>
      </c>
      <c r="G38" s="21">
        <v>22673</v>
      </c>
      <c r="H38" s="13">
        <v>55.84</v>
      </c>
      <c r="I38" s="20" t="s">
        <v>6</v>
      </c>
      <c r="J38" s="21">
        <v>16343</v>
      </c>
      <c r="K38" s="21">
        <v>6330</v>
      </c>
      <c r="L38" s="20" t="s">
        <v>195</v>
      </c>
      <c r="M38" s="20" t="s">
        <v>8</v>
      </c>
      <c r="N38" s="21">
        <v>19986</v>
      </c>
      <c r="O38" s="13">
        <v>46.37</v>
      </c>
      <c r="P38" s="20" t="s">
        <v>6</v>
      </c>
      <c r="Q38" s="21">
        <v>18568</v>
      </c>
      <c r="R38" s="21">
        <v>1418</v>
      </c>
      <c r="S38" s="11">
        <f t="shared" si="6"/>
        <v>0.15589785207074494</v>
      </c>
      <c r="T38" s="11">
        <f t="shared" si="7"/>
        <v>3.2899359551686186E-2</v>
      </c>
      <c r="U38" s="6" t="str">
        <f t="shared" si="8"/>
        <v>No</v>
      </c>
      <c r="V38" s="6" t="str">
        <f t="shared" si="9"/>
        <v>CPI(M) -&gt; CPI(M)</v>
      </c>
      <c r="W38" s="6" t="str">
        <f t="shared" si="10"/>
        <v>No</v>
      </c>
      <c r="X38" s="6" t="str">
        <f t="shared" si="11"/>
        <v>Yes</v>
      </c>
    </row>
    <row r="39" spans="1:24" x14ac:dyDescent="0.3">
      <c r="A39" s="20">
        <v>38</v>
      </c>
      <c r="B39" s="20" t="s">
        <v>196</v>
      </c>
      <c r="C39" s="20" t="s">
        <v>51</v>
      </c>
      <c r="D39" s="20" t="s">
        <v>40</v>
      </c>
      <c r="E39" s="20" t="s">
        <v>197</v>
      </c>
      <c r="F39" s="20" t="s">
        <v>8</v>
      </c>
      <c r="G39" s="21">
        <v>21160</v>
      </c>
      <c r="H39" s="13">
        <v>49.59</v>
      </c>
      <c r="I39" s="20" t="s">
        <v>6</v>
      </c>
      <c r="J39" s="21">
        <v>19592</v>
      </c>
      <c r="K39" s="21">
        <v>1568</v>
      </c>
      <c r="L39" s="20" t="s">
        <v>198</v>
      </c>
      <c r="M39" s="20" t="s">
        <v>7</v>
      </c>
      <c r="N39" s="21">
        <v>17621</v>
      </c>
      <c r="O39" s="13">
        <v>38.54</v>
      </c>
      <c r="P39" s="20" t="s">
        <v>8</v>
      </c>
      <c r="Q39" s="21">
        <v>17246</v>
      </c>
      <c r="R39" s="21">
        <v>375</v>
      </c>
      <c r="S39" s="11">
        <f t="shared" si="6"/>
        <v>3.6747221172022684E-2</v>
      </c>
      <c r="T39" s="11">
        <f t="shared" si="7"/>
        <v>8.2018614153566757E-3</v>
      </c>
      <c r="U39" s="6" t="str">
        <f t="shared" si="8"/>
        <v>Yes</v>
      </c>
      <c r="V39" s="6" t="str">
        <f t="shared" si="9"/>
        <v>CPI(M) -&gt; IPFT</v>
      </c>
      <c r="W39" s="6" t="str">
        <f t="shared" si="10"/>
        <v>Yes</v>
      </c>
      <c r="X39" s="6" t="str">
        <f t="shared" si="11"/>
        <v>Yes</v>
      </c>
    </row>
    <row r="40" spans="1:24" x14ac:dyDescent="0.3">
      <c r="A40" s="20">
        <v>39</v>
      </c>
      <c r="B40" s="20" t="s">
        <v>199</v>
      </c>
      <c r="C40" s="20" t="s">
        <v>51</v>
      </c>
      <c r="D40" s="20" t="s">
        <v>40</v>
      </c>
      <c r="E40" s="20" t="s">
        <v>200</v>
      </c>
      <c r="F40" s="20" t="s">
        <v>8</v>
      </c>
      <c r="G40" s="21">
        <v>19432</v>
      </c>
      <c r="H40" s="13">
        <v>47.62</v>
      </c>
      <c r="I40" s="20" t="s">
        <v>7</v>
      </c>
      <c r="J40" s="21">
        <v>19239</v>
      </c>
      <c r="K40" s="21">
        <v>193</v>
      </c>
      <c r="L40" s="20" t="s">
        <v>201</v>
      </c>
      <c r="M40" s="20" t="s">
        <v>6</v>
      </c>
      <c r="N40" s="21">
        <v>15469</v>
      </c>
      <c r="O40" s="13">
        <v>34.5</v>
      </c>
      <c r="P40" s="20" t="s">
        <v>8</v>
      </c>
      <c r="Q40" s="21">
        <v>14922</v>
      </c>
      <c r="R40" s="21">
        <v>547</v>
      </c>
      <c r="S40" s="11">
        <f t="shared" si="6"/>
        <v>4.7296521202140791E-3</v>
      </c>
      <c r="T40" s="11">
        <f t="shared" si="7"/>
        <v>1.2199560411144868E-2</v>
      </c>
      <c r="U40" s="6" t="str">
        <f t="shared" si="8"/>
        <v>Yes</v>
      </c>
      <c r="V40" s="6" t="str">
        <f t="shared" si="9"/>
        <v>CPI(M) -&gt; BJP</v>
      </c>
      <c r="W40" s="6" t="str">
        <f t="shared" si="10"/>
        <v>Yes</v>
      </c>
      <c r="X40" s="6" t="str">
        <f t="shared" si="11"/>
        <v>Yes</v>
      </c>
    </row>
    <row r="41" spans="1:24" x14ac:dyDescent="0.3">
      <c r="A41" s="20">
        <v>40</v>
      </c>
      <c r="B41" s="20" t="s">
        <v>202</v>
      </c>
      <c r="C41" s="20" t="s">
        <v>51</v>
      </c>
      <c r="D41" s="20" t="s">
        <v>38</v>
      </c>
      <c r="E41" s="20" t="s">
        <v>203</v>
      </c>
      <c r="F41" s="20" t="s">
        <v>6</v>
      </c>
      <c r="G41" s="21">
        <v>21059</v>
      </c>
      <c r="H41" s="13">
        <v>50.64</v>
      </c>
      <c r="I41" s="20" t="s">
        <v>8</v>
      </c>
      <c r="J41" s="21">
        <v>18877</v>
      </c>
      <c r="K41" s="21">
        <v>2182</v>
      </c>
      <c r="L41" s="20" t="s">
        <v>204</v>
      </c>
      <c r="M41" s="20" t="s">
        <v>8</v>
      </c>
      <c r="N41" s="21">
        <v>21801</v>
      </c>
      <c r="O41" s="13">
        <v>49.02</v>
      </c>
      <c r="P41" s="20" t="s">
        <v>6</v>
      </c>
      <c r="Q41" s="21">
        <v>21405</v>
      </c>
      <c r="R41" s="21">
        <v>396</v>
      </c>
      <c r="S41" s="11">
        <f t="shared" si="6"/>
        <v>5.2469955838358895E-2</v>
      </c>
      <c r="T41" s="11">
        <f t="shared" si="7"/>
        <v>8.9041420118343203E-3</v>
      </c>
      <c r="U41" s="6" t="str">
        <f t="shared" si="8"/>
        <v>Yes</v>
      </c>
      <c r="V41" s="6" t="str">
        <f t="shared" si="9"/>
        <v>BJP -&gt; CPI(M)</v>
      </c>
      <c r="W41" s="6" t="str">
        <f t="shared" si="10"/>
        <v>No</v>
      </c>
      <c r="X41" s="6" t="str">
        <f t="shared" si="11"/>
        <v>Yes</v>
      </c>
    </row>
    <row r="42" spans="1:24" x14ac:dyDescent="0.3">
      <c r="A42" s="20">
        <v>41</v>
      </c>
      <c r="B42" s="20" t="s">
        <v>205</v>
      </c>
      <c r="C42" s="20" t="s">
        <v>50</v>
      </c>
      <c r="D42" s="20" t="s">
        <v>40</v>
      </c>
      <c r="E42" s="20" t="s">
        <v>206</v>
      </c>
      <c r="F42" s="20" t="s">
        <v>7</v>
      </c>
      <c r="G42" s="21">
        <v>18202</v>
      </c>
      <c r="H42" s="13">
        <v>53.47</v>
      </c>
      <c r="I42" s="20" t="s">
        <v>8</v>
      </c>
      <c r="J42" s="21">
        <v>13255</v>
      </c>
      <c r="K42" s="21">
        <v>4947</v>
      </c>
      <c r="L42" s="20" t="s">
        <v>207</v>
      </c>
      <c r="M42" s="20" t="s">
        <v>10</v>
      </c>
      <c r="N42" s="21">
        <v>21525</v>
      </c>
      <c r="O42" s="13">
        <v>57.03</v>
      </c>
      <c r="P42" s="20" t="s">
        <v>6</v>
      </c>
      <c r="Q42" s="21">
        <v>9339</v>
      </c>
      <c r="R42" s="21">
        <v>12186</v>
      </c>
      <c r="S42" s="11">
        <f t="shared" si="6"/>
        <v>0.14532254147895834</v>
      </c>
      <c r="T42" s="11">
        <f t="shared" si="7"/>
        <v>0.32286531010452962</v>
      </c>
      <c r="U42" s="6" t="str">
        <f t="shared" si="8"/>
        <v>Yes</v>
      </c>
      <c r="V42" s="6" t="str">
        <f t="shared" si="9"/>
        <v>IPFT -&gt; TMP</v>
      </c>
      <c r="W42" s="6" t="str">
        <f t="shared" si="10"/>
        <v>No</v>
      </c>
      <c r="X42" s="6" t="str">
        <f t="shared" si="11"/>
        <v>No</v>
      </c>
    </row>
    <row r="43" spans="1:24" x14ac:dyDescent="0.3">
      <c r="A43" s="20">
        <v>42</v>
      </c>
      <c r="B43" s="20" t="s">
        <v>208</v>
      </c>
      <c r="C43" s="20" t="s">
        <v>50</v>
      </c>
      <c r="D43" s="20" t="s">
        <v>38</v>
      </c>
      <c r="E43" s="20" t="s">
        <v>209</v>
      </c>
      <c r="F43" s="20" t="s">
        <v>6</v>
      </c>
      <c r="G43" s="21">
        <v>18970</v>
      </c>
      <c r="H43" s="13">
        <v>48.87</v>
      </c>
      <c r="I43" s="20" t="s">
        <v>8</v>
      </c>
      <c r="J43" s="21">
        <v>17954</v>
      </c>
      <c r="K43" s="21">
        <v>1016</v>
      </c>
      <c r="L43" s="20" t="s">
        <v>209</v>
      </c>
      <c r="M43" s="20" t="s">
        <v>6</v>
      </c>
      <c r="N43" s="21">
        <v>17989</v>
      </c>
      <c r="O43" s="13">
        <v>44.21</v>
      </c>
      <c r="P43" s="20" t="s">
        <v>8</v>
      </c>
      <c r="Q43" s="21">
        <v>13395</v>
      </c>
      <c r="R43" s="21">
        <v>4594</v>
      </c>
      <c r="S43" s="11">
        <f t="shared" si="6"/>
        <v>2.6173916710595678E-2</v>
      </c>
      <c r="T43" s="11">
        <f t="shared" si="7"/>
        <v>0.1129027405636778</v>
      </c>
      <c r="U43" s="6" t="str">
        <f t="shared" si="8"/>
        <v>No</v>
      </c>
      <c r="V43" s="6" t="str">
        <f t="shared" si="9"/>
        <v>BJP -&gt; BJP</v>
      </c>
      <c r="W43" s="6" t="str">
        <f t="shared" si="10"/>
        <v>Yes</v>
      </c>
      <c r="X43" s="6" t="str">
        <f t="shared" si="11"/>
        <v>No</v>
      </c>
    </row>
    <row r="44" spans="1:24" x14ac:dyDescent="0.3">
      <c r="A44" s="20">
        <v>43</v>
      </c>
      <c r="B44" s="20" t="s">
        <v>210</v>
      </c>
      <c r="C44" s="20" t="s">
        <v>50</v>
      </c>
      <c r="D44" s="20" t="s">
        <v>40</v>
      </c>
      <c r="E44" s="20" t="s">
        <v>211</v>
      </c>
      <c r="F44" s="20" t="s">
        <v>6</v>
      </c>
      <c r="G44" s="21">
        <v>15622</v>
      </c>
      <c r="H44" s="13">
        <v>48.86</v>
      </c>
      <c r="I44" s="20" t="s">
        <v>8</v>
      </c>
      <c r="J44" s="21">
        <v>14825</v>
      </c>
      <c r="K44" s="21">
        <v>797</v>
      </c>
      <c r="L44" s="20" t="s">
        <v>212</v>
      </c>
      <c r="M44" s="20" t="s">
        <v>10</v>
      </c>
      <c r="N44" s="21">
        <v>16647</v>
      </c>
      <c r="O44" s="13">
        <v>44.88</v>
      </c>
      <c r="P44" s="20" t="s">
        <v>6</v>
      </c>
      <c r="Q44" s="21">
        <v>12200</v>
      </c>
      <c r="R44" s="21">
        <v>4447</v>
      </c>
      <c r="S44" s="11">
        <f t="shared" si="6"/>
        <v>2.4927294840609394E-2</v>
      </c>
      <c r="T44" s="11">
        <f t="shared" si="7"/>
        <v>0.119890286538115</v>
      </c>
      <c r="U44" s="6" t="str">
        <f t="shared" si="8"/>
        <v>Yes</v>
      </c>
      <c r="V44" s="6" t="str">
        <f t="shared" si="9"/>
        <v>BJP -&gt; TMP</v>
      </c>
      <c r="W44" s="6" t="str">
        <f t="shared" si="10"/>
        <v>Yes</v>
      </c>
      <c r="X44" s="6" t="str">
        <f t="shared" si="11"/>
        <v>No</v>
      </c>
    </row>
    <row r="45" spans="1:24" x14ac:dyDescent="0.3">
      <c r="A45" s="20">
        <v>44</v>
      </c>
      <c r="B45" s="20" t="s">
        <v>213</v>
      </c>
      <c r="C45" s="20" t="s">
        <v>52</v>
      </c>
      <c r="D45" s="20" t="s">
        <v>40</v>
      </c>
      <c r="E45" s="20" t="s">
        <v>214</v>
      </c>
      <c r="F45" s="20" t="s">
        <v>7</v>
      </c>
      <c r="G45" s="21">
        <v>18673</v>
      </c>
      <c r="H45" s="13">
        <v>46.93</v>
      </c>
      <c r="I45" s="20" t="s">
        <v>8</v>
      </c>
      <c r="J45" s="21">
        <v>16751</v>
      </c>
      <c r="K45" s="21">
        <v>1922</v>
      </c>
      <c r="L45" s="20" t="s">
        <v>215</v>
      </c>
      <c r="M45" s="20" t="s">
        <v>10</v>
      </c>
      <c r="N45" s="21">
        <v>19269</v>
      </c>
      <c r="O45" s="13">
        <v>40.659999999999997</v>
      </c>
      <c r="P45" s="20" t="s">
        <v>6</v>
      </c>
      <c r="Q45" s="21">
        <v>15827</v>
      </c>
      <c r="R45" s="21">
        <v>3442</v>
      </c>
      <c r="S45" s="11">
        <f t="shared" si="6"/>
        <v>4.8304750174048089E-2</v>
      </c>
      <c r="T45" s="11">
        <f t="shared" si="7"/>
        <v>7.2630504956147174E-2</v>
      </c>
      <c r="U45" s="6" t="str">
        <f t="shared" si="8"/>
        <v>Yes</v>
      </c>
      <c r="V45" s="6" t="str">
        <f t="shared" si="9"/>
        <v>IPFT -&gt; TMP</v>
      </c>
      <c r="W45" s="6" t="str">
        <f t="shared" si="10"/>
        <v>Yes</v>
      </c>
      <c r="X45" s="6" t="str">
        <f t="shared" si="11"/>
        <v>No</v>
      </c>
    </row>
    <row r="46" spans="1:24" x14ac:dyDescent="0.3">
      <c r="A46" s="20">
        <v>45</v>
      </c>
      <c r="B46" s="20" t="s">
        <v>216</v>
      </c>
      <c r="C46" s="20" t="s">
        <v>52</v>
      </c>
      <c r="D46" s="20" t="s">
        <v>38</v>
      </c>
      <c r="E46" s="20" t="s">
        <v>217</v>
      </c>
      <c r="F46" s="20" t="s">
        <v>6</v>
      </c>
      <c r="G46" s="21">
        <v>20165</v>
      </c>
      <c r="H46" s="13">
        <v>52.11</v>
      </c>
      <c r="I46" s="20" t="s">
        <v>8</v>
      </c>
      <c r="J46" s="21">
        <v>17206</v>
      </c>
      <c r="K46" s="21">
        <v>2959</v>
      </c>
      <c r="L46" s="20" t="s">
        <v>217</v>
      </c>
      <c r="M46" s="20" t="s">
        <v>6</v>
      </c>
      <c r="N46" s="21">
        <v>18287</v>
      </c>
      <c r="O46" s="13">
        <v>45.16</v>
      </c>
      <c r="P46" s="20" t="s">
        <v>9</v>
      </c>
      <c r="Q46" s="21">
        <v>13027</v>
      </c>
      <c r="R46" s="21">
        <v>5260</v>
      </c>
      <c r="S46" s="11">
        <f t="shared" si="6"/>
        <v>7.6465901314158188E-2</v>
      </c>
      <c r="T46" s="11">
        <f t="shared" si="7"/>
        <v>0.12989642915732486</v>
      </c>
      <c r="U46" s="6" t="str">
        <f t="shared" si="8"/>
        <v>No</v>
      </c>
      <c r="V46" s="6" t="str">
        <f t="shared" si="9"/>
        <v>BJP -&gt; BJP</v>
      </c>
      <c r="W46" s="6" t="str">
        <f t="shared" si="10"/>
        <v>No</v>
      </c>
      <c r="X46" s="6" t="str">
        <f t="shared" si="11"/>
        <v>No</v>
      </c>
    </row>
    <row r="47" spans="1:24" x14ac:dyDescent="0.3">
      <c r="A47" s="20">
        <v>46</v>
      </c>
      <c r="B47" s="20" t="s">
        <v>218</v>
      </c>
      <c r="C47" s="20" t="s">
        <v>52</v>
      </c>
      <c r="D47" s="20" t="s">
        <v>39</v>
      </c>
      <c r="E47" s="20" t="s">
        <v>219</v>
      </c>
      <c r="F47" s="20" t="s">
        <v>6</v>
      </c>
      <c r="G47" s="21">
        <v>20767</v>
      </c>
      <c r="H47" s="13">
        <v>51.48</v>
      </c>
      <c r="I47" s="20" t="s">
        <v>8</v>
      </c>
      <c r="J47" s="21">
        <v>18057</v>
      </c>
      <c r="K47" s="21">
        <v>2710</v>
      </c>
      <c r="L47" s="20" t="s">
        <v>220</v>
      </c>
      <c r="M47" s="20" t="s">
        <v>6</v>
      </c>
      <c r="N47" s="21">
        <v>17313</v>
      </c>
      <c r="O47" s="13">
        <v>40.299999999999997</v>
      </c>
      <c r="P47" s="20" t="s">
        <v>8</v>
      </c>
      <c r="Q47" s="21">
        <v>12475</v>
      </c>
      <c r="R47" s="21">
        <v>4838</v>
      </c>
      <c r="S47" s="11">
        <f t="shared" si="6"/>
        <v>6.7179082197717524E-2</v>
      </c>
      <c r="T47" s="11">
        <f t="shared" si="7"/>
        <v>0.11261560676947957</v>
      </c>
      <c r="U47" s="6" t="str">
        <f t="shared" si="8"/>
        <v>No</v>
      </c>
      <c r="V47" s="6" t="str">
        <f t="shared" si="9"/>
        <v>BJP -&gt; BJP</v>
      </c>
      <c r="W47" s="6" t="str">
        <f t="shared" si="10"/>
        <v>No</v>
      </c>
      <c r="X47" s="6" t="str">
        <f t="shared" si="11"/>
        <v>No</v>
      </c>
    </row>
    <row r="48" spans="1:24" x14ac:dyDescent="0.3">
      <c r="A48" s="20">
        <v>47</v>
      </c>
      <c r="B48" s="20" t="s">
        <v>221</v>
      </c>
      <c r="C48" s="20" t="s">
        <v>52</v>
      </c>
      <c r="D48" s="20" t="s">
        <v>40</v>
      </c>
      <c r="E48" s="20" t="s">
        <v>222</v>
      </c>
      <c r="F48" s="20" t="s">
        <v>6</v>
      </c>
      <c r="G48" s="21">
        <v>20842</v>
      </c>
      <c r="H48" s="13">
        <v>49.42</v>
      </c>
      <c r="I48" s="20" t="s">
        <v>8</v>
      </c>
      <c r="J48" s="21">
        <v>17257</v>
      </c>
      <c r="K48" s="21">
        <v>3585</v>
      </c>
      <c r="L48" s="20" t="s">
        <v>223</v>
      </c>
      <c r="M48" s="20" t="s">
        <v>10</v>
      </c>
      <c r="N48" s="21">
        <v>15317</v>
      </c>
      <c r="O48" s="13">
        <v>33.270000000000003</v>
      </c>
      <c r="P48" s="20" t="s">
        <v>6</v>
      </c>
      <c r="Q48" s="21">
        <v>14824</v>
      </c>
      <c r="R48" s="21">
        <v>493</v>
      </c>
      <c r="S48" s="11">
        <f t="shared" si="6"/>
        <v>8.5006573265521551E-2</v>
      </c>
      <c r="T48" s="11">
        <f t="shared" si="7"/>
        <v>1.0708435072142065E-2</v>
      </c>
      <c r="U48" s="6" t="str">
        <f t="shared" si="8"/>
        <v>Yes</v>
      </c>
      <c r="V48" s="6" t="str">
        <f t="shared" si="9"/>
        <v>BJP -&gt; TMP</v>
      </c>
      <c r="W48" s="6" t="str">
        <f t="shared" si="10"/>
        <v>No</v>
      </c>
      <c r="X48" s="6" t="str">
        <f t="shared" si="11"/>
        <v>Yes</v>
      </c>
    </row>
    <row r="49" spans="1:24" x14ac:dyDescent="0.3">
      <c r="A49" s="20">
        <v>48</v>
      </c>
      <c r="B49" s="20" t="s">
        <v>224</v>
      </c>
      <c r="C49" s="20" t="s">
        <v>52</v>
      </c>
      <c r="D49" s="20" t="s">
        <v>40</v>
      </c>
      <c r="E49" s="20" t="s">
        <v>225</v>
      </c>
      <c r="F49" s="20" t="s">
        <v>6</v>
      </c>
      <c r="G49" s="21">
        <v>19397</v>
      </c>
      <c r="H49" s="13">
        <v>55.59</v>
      </c>
      <c r="I49" s="20" t="s">
        <v>8</v>
      </c>
      <c r="J49" s="21">
        <v>12061</v>
      </c>
      <c r="K49" s="21">
        <v>7336</v>
      </c>
      <c r="L49" s="20" t="s">
        <v>226</v>
      </c>
      <c r="M49" s="20" t="s">
        <v>10</v>
      </c>
      <c r="N49" s="21">
        <v>20496</v>
      </c>
      <c r="O49" s="13">
        <v>52.73</v>
      </c>
      <c r="P49" s="20" t="s">
        <v>6</v>
      </c>
      <c r="Q49" s="21">
        <v>9901</v>
      </c>
      <c r="R49" s="21">
        <v>10595</v>
      </c>
      <c r="S49" s="11">
        <f t="shared" si="6"/>
        <v>0.21024294478527611</v>
      </c>
      <c r="T49" s="11">
        <f t="shared" si="7"/>
        <v>0.27257725897736146</v>
      </c>
      <c r="U49" s="6" t="str">
        <f t="shared" si="8"/>
        <v>Yes</v>
      </c>
      <c r="V49" s="6" t="str">
        <f t="shared" si="9"/>
        <v>BJP -&gt; TMP</v>
      </c>
      <c r="W49" s="6" t="str">
        <f t="shared" si="10"/>
        <v>No</v>
      </c>
      <c r="X49" s="6" t="str">
        <f t="shared" si="11"/>
        <v>No</v>
      </c>
    </row>
    <row r="50" spans="1:24" x14ac:dyDescent="0.3">
      <c r="A50" s="20">
        <v>49</v>
      </c>
      <c r="B50" s="20" t="s">
        <v>227</v>
      </c>
      <c r="C50" s="20" t="s">
        <v>52</v>
      </c>
      <c r="D50" s="20" t="s">
        <v>40</v>
      </c>
      <c r="E50" s="20" t="s">
        <v>228</v>
      </c>
      <c r="F50" s="20" t="s">
        <v>6</v>
      </c>
      <c r="G50" s="21">
        <v>18290</v>
      </c>
      <c r="H50" s="13">
        <v>52.3</v>
      </c>
      <c r="I50" s="20" t="s">
        <v>8</v>
      </c>
      <c r="J50" s="21">
        <v>14535</v>
      </c>
      <c r="K50" s="21">
        <v>3755</v>
      </c>
      <c r="L50" s="20" t="s">
        <v>228</v>
      </c>
      <c r="M50" s="20" t="s">
        <v>6</v>
      </c>
      <c r="N50" s="21">
        <v>16644</v>
      </c>
      <c r="O50" s="13">
        <v>41.85</v>
      </c>
      <c r="P50" s="20" t="s">
        <v>10</v>
      </c>
      <c r="Q50" s="21">
        <v>13745</v>
      </c>
      <c r="R50" s="21">
        <v>2899</v>
      </c>
      <c r="S50" s="11">
        <f t="shared" si="6"/>
        <v>0.10737370147621651</v>
      </c>
      <c r="T50" s="11">
        <f t="shared" si="7"/>
        <v>7.289302451333815E-2</v>
      </c>
      <c r="U50" s="6" t="str">
        <f t="shared" si="8"/>
        <v>No</v>
      </c>
      <c r="V50" s="6" t="str">
        <f t="shared" si="9"/>
        <v>BJP -&gt; BJP</v>
      </c>
      <c r="W50" s="6" t="str">
        <f t="shared" si="10"/>
        <v>No</v>
      </c>
      <c r="X50" s="6" t="str">
        <f t="shared" si="11"/>
        <v>No</v>
      </c>
    </row>
    <row r="51" spans="1:24" x14ac:dyDescent="0.3">
      <c r="A51" s="20">
        <v>50</v>
      </c>
      <c r="B51" s="20" t="s">
        <v>229</v>
      </c>
      <c r="C51" s="20" t="s">
        <v>53</v>
      </c>
      <c r="D51" s="20" t="s">
        <v>39</v>
      </c>
      <c r="E51" s="20" t="s">
        <v>230</v>
      </c>
      <c r="F51" s="20" t="s">
        <v>6</v>
      </c>
      <c r="G51" s="21">
        <v>22815</v>
      </c>
      <c r="H51" s="13">
        <v>54.53</v>
      </c>
      <c r="I51" s="20" t="s">
        <v>8</v>
      </c>
      <c r="J51" s="21">
        <v>16988</v>
      </c>
      <c r="K51" s="21">
        <v>5827</v>
      </c>
      <c r="L51" s="20" t="s">
        <v>230</v>
      </c>
      <c r="M51" s="20" t="s">
        <v>6</v>
      </c>
      <c r="N51" s="21">
        <v>19542</v>
      </c>
      <c r="O51" s="13">
        <v>44.46</v>
      </c>
      <c r="P51" s="20" t="s">
        <v>9</v>
      </c>
      <c r="Q51" s="21">
        <v>19134</v>
      </c>
      <c r="R51" s="21">
        <v>408</v>
      </c>
      <c r="S51" s="11">
        <f t="shared" si="6"/>
        <v>0.13927079114617574</v>
      </c>
      <c r="T51" s="11">
        <f t="shared" si="7"/>
        <v>9.282407123119436E-3</v>
      </c>
      <c r="U51" s="6" t="str">
        <f t="shared" si="8"/>
        <v>No</v>
      </c>
      <c r="V51" s="6" t="str">
        <f t="shared" si="9"/>
        <v>BJP -&gt; BJP</v>
      </c>
      <c r="W51" s="6" t="str">
        <f t="shared" si="10"/>
        <v>No</v>
      </c>
      <c r="X51" s="6" t="str">
        <f t="shared" si="11"/>
        <v>Yes</v>
      </c>
    </row>
    <row r="52" spans="1:24" x14ac:dyDescent="0.3">
      <c r="A52" s="20">
        <v>51</v>
      </c>
      <c r="B52" s="20" t="s">
        <v>231</v>
      </c>
      <c r="C52" s="20" t="s">
        <v>53</v>
      </c>
      <c r="D52" s="20" t="s">
        <v>39</v>
      </c>
      <c r="E52" s="20" t="s">
        <v>232</v>
      </c>
      <c r="F52" s="20" t="s">
        <v>6</v>
      </c>
      <c r="G52" s="21">
        <v>19512</v>
      </c>
      <c r="H52" s="13">
        <v>51.39</v>
      </c>
      <c r="I52" s="20" t="s">
        <v>8</v>
      </c>
      <c r="J52" s="21">
        <v>16683</v>
      </c>
      <c r="K52" s="21">
        <v>2829</v>
      </c>
      <c r="L52" s="20" t="s">
        <v>232</v>
      </c>
      <c r="M52" s="20" t="s">
        <v>6</v>
      </c>
      <c r="N52" s="21">
        <v>19570</v>
      </c>
      <c r="O52" s="13">
        <v>49.96</v>
      </c>
      <c r="P52" s="20" t="s">
        <v>8</v>
      </c>
      <c r="Q52" s="21">
        <v>14458</v>
      </c>
      <c r="R52" s="21">
        <v>5112</v>
      </c>
      <c r="S52" s="11">
        <f t="shared" si="6"/>
        <v>7.4509178966789671E-2</v>
      </c>
      <c r="T52" s="11">
        <f t="shared" si="7"/>
        <v>0.13050358712314766</v>
      </c>
      <c r="U52" s="6" t="str">
        <f t="shared" si="8"/>
        <v>No</v>
      </c>
      <c r="V52" s="6" t="str">
        <f t="shared" si="9"/>
        <v>BJP -&gt; BJP</v>
      </c>
      <c r="W52" s="6" t="str">
        <f t="shared" si="10"/>
        <v>No</v>
      </c>
      <c r="X52" s="6" t="str">
        <f t="shared" si="11"/>
        <v>No</v>
      </c>
    </row>
    <row r="53" spans="1:24" x14ac:dyDescent="0.3">
      <c r="A53" s="20">
        <v>52</v>
      </c>
      <c r="B53" s="20" t="s">
        <v>233</v>
      </c>
      <c r="C53" s="20" t="s">
        <v>53</v>
      </c>
      <c r="D53" s="20" t="s">
        <v>38</v>
      </c>
      <c r="E53" s="20" t="s">
        <v>234</v>
      </c>
      <c r="F53" s="20" t="s">
        <v>8</v>
      </c>
      <c r="G53" s="21">
        <v>18545</v>
      </c>
      <c r="H53" s="13">
        <v>47.48</v>
      </c>
      <c r="I53" s="20" t="s">
        <v>6</v>
      </c>
      <c r="J53" s="21">
        <v>18143</v>
      </c>
      <c r="K53" s="21">
        <v>402</v>
      </c>
      <c r="L53" s="20" t="s">
        <v>235</v>
      </c>
      <c r="M53" s="20" t="s">
        <v>6</v>
      </c>
      <c r="N53" s="21">
        <v>17395</v>
      </c>
      <c r="O53" s="13">
        <v>42.68</v>
      </c>
      <c r="P53" s="20" t="s">
        <v>8</v>
      </c>
      <c r="Q53" s="21">
        <v>16818</v>
      </c>
      <c r="R53" s="21">
        <v>577</v>
      </c>
      <c r="S53" s="11">
        <f t="shared" si="6"/>
        <v>1.029224049609059E-2</v>
      </c>
      <c r="T53" s="11">
        <f t="shared" si="7"/>
        <v>1.4157148605921242E-2</v>
      </c>
      <c r="U53" s="6" t="str">
        <f t="shared" si="8"/>
        <v>Yes</v>
      </c>
      <c r="V53" s="6" t="str">
        <f t="shared" si="9"/>
        <v>CPI(M) -&gt; BJP</v>
      </c>
      <c r="W53" s="6" t="str">
        <f t="shared" si="10"/>
        <v>Yes</v>
      </c>
      <c r="X53" s="6" t="str">
        <f t="shared" si="11"/>
        <v>Yes</v>
      </c>
    </row>
    <row r="54" spans="1:24" x14ac:dyDescent="0.3">
      <c r="A54" s="20">
        <v>53</v>
      </c>
      <c r="B54" s="20" t="s">
        <v>236</v>
      </c>
      <c r="C54" s="20" t="s">
        <v>53</v>
      </c>
      <c r="D54" s="20" t="s">
        <v>38</v>
      </c>
      <c r="E54" s="20" t="s">
        <v>237</v>
      </c>
      <c r="F54" s="20" t="s">
        <v>8</v>
      </c>
      <c r="G54" s="21">
        <v>18093</v>
      </c>
      <c r="H54" s="13">
        <v>45.02</v>
      </c>
      <c r="I54" s="20" t="s">
        <v>6</v>
      </c>
      <c r="J54" s="21">
        <v>13259</v>
      </c>
      <c r="K54" s="21">
        <v>4834</v>
      </c>
      <c r="L54" s="20" t="s">
        <v>238</v>
      </c>
      <c r="M54" s="20" t="s">
        <v>9</v>
      </c>
      <c r="N54" s="21">
        <v>25300</v>
      </c>
      <c r="O54" s="13">
        <v>59.62</v>
      </c>
      <c r="P54" s="20" t="s">
        <v>6</v>
      </c>
      <c r="Q54" s="21">
        <v>15614</v>
      </c>
      <c r="R54" s="21">
        <v>9686</v>
      </c>
      <c r="S54" s="11">
        <f t="shared" si="6"/>
        <v>0.12028225280495221</v>
      </c>
      <c r="T54" s="11">
        <f t="shared" si="7"/>
        <v>0.2282526956521739</v>
      </c>
      <c r="U54" s="6" t="str">
        <f t="shared" si="8"/>
        <v>Yes</v>
      </c>
      <c r="V54" s="6" t="str">
        <f t="shared" si="9"/>
        <v>CPI(M) -&gt; INC</v>
      </c>
      <c r="W54" s="6" t="str">
        <f t="shared" si="10"/>
        <v>No</v>
      </c>
      <c r="X54" s="6" t="str">
        <f t="shared" si="11"/>
        <v>No</v>
      </c>
    </row>
    <row r="55" spans="1:24" x14ac:dyDescent="0.3">
      <c r="A55" s="20">
        <v>54</v>
      </c>
      <c r="B55" s="20" t="s">
        <v>239</v>
      </c>
      <c r="C55" s="20" t="s">
        <v>54</v>
      </c>
      <c r="D55" s="20" t="s">
        <v>38</v>
      </c>
      <c r="E55" s="20" t="s">
        <v>240</v>
      </c>
      <c r="F55" s="20" t="s">
        <v>8</v>
      </c>
      <c r="G55" s="21">
        <v>20721</v>
      </c>
      <c r="H55" s="13">
        <v>56.84</v>
      </c>
      <c r="I55" s="20" t="s">
        <v>6</v>
      </c>
      <c r="J55" s="21">
        <v>13839</v>
      </c>
      <c r="K55" s="21">
        <v>6882</v>
      </c>
      <c r="L55" s="20" t="s">
        <v>240</v>
      </c>
      <c r="M55" s="20" t="s">
        <v>8</v>
      </c>
      <c r="N55" s="21">
        <v>20012</v>
      </c>
      <c r="O55" s="13">
        <v>49.65</v>
      </c>
      <c r="P55" s="20" t="s">
        <v>6</v>
      </c>
      <c r="Q55" s="21">
        <v>18120</v>
      </c>
      <c r="R55" s="21">
        <v>1892</v>
      </c>
      <c r="S55" s="11">
        <f t="shared" si="6"/>
        <v>0.18878088895323586</v>
      </c>
      <c r="T55" s="11">
        <f t="shared" si="7"/>
        <v>4.6940735558664806E-2</v>
      </c>
      <c r="U55" s="6" t="str">
        <f t="shared" si="8"/>
        <v>No</v>
      </c>
      <c r="V55" s="6" t="str">
        <f t="shared" si="9"/>
        <v>CPI(M) -&gt; CPI(M)</v>
      </c>
      <c r="W55" s="6" t="str">
        <f t="shared" si="10"/>
        <v>No</v>
      </c>
      <c r="X55" s="6" t="str">
        <f t="shared" si="11"/>
        <v>Yes</v>
      </c>
    </row>
    <row r="56" spans="1:24" x14ac:dyDescent="0.3">
      <c r="A56" s="20">
        <v>55</v>
      </c>
      <c r="B56" s="20" t="s">
        <v>241</v>
      </c>
      <c r="C56" s="20" t="s">
        <v>54</v>
      </c>
      <c r="D56" s="20" t="s">
        <v>38</v>
      </c>
      <c r="E56" s="20" t="s">
        <v>242</v>
      </c>
      <c r="F56" s="20" t="s">
        <v>8</v>
      </c>
      <c r="G56" s="21">
        <v>18001</v>
      </c>
      <c r="H56" s="13">
        <v>48.09</v>
      </c>
      <c r="I56" s="20" t="s">
        <v>6</v>
      </c>
      <c r="J56" s="21">
        <v>17731</v>
      </c>
      <c r="K56" s="21">
        <v>270</v>
      </c>
      <c r="L56" s="20" t="s">
        <v>243</v>
      </c>
      <c r="M56" s="20" t="s">
        <v>6</v>
      </c>
      <c r="N56" s="21">
        <v>18905</v>
      </c>
      <c r="O56" s="13">
        <v>47.41</v>
      </c>
      <c r="P56" s="20" t="s">
        <v>8</v>
      </c>
      <c r="Q56" s="21">
        <v>17444</v>
      </c>
      <c r="R56" s="21">
        <v>1461</v>
      </c>
      <c r="S56" s="11">
        <f t="shared" si="6"/>
        <v>7.2130992722626523E-3</v>
      </c>
      <c r="T56" s="11">
        <f t="shared" si="7"/>
        <v>3.6638989685268443E-2</v>
      </c>
      <c r="U56" s="6" t="str">
        <f t="shared" si="8"/>
        <v>Yes</v>
      </c>
      <c r="V56" s="6" t="str">
        <f t="shared" si="9"/>
        <v>CPI(M) -&gt; BJP</v>
      </c>
      <c r="W56" s="6" t="str">
        <f t="shared" si="10"/>
        <v>Yes</v>
      </c>
      <c r="X56" s="6" t="str">
        <f t="shared" si="11"/>
        <v>Yes</v>
      </c>
    </row>
    <row r="57" spans="1:24" x14ac:dyDescent="0.3">
      <c r="A57" s="20">
        <v>56</v>
      </c>
      <c r="B57" s="20" t="s">
        <v>244</v>
      </c>
      <c r="C57" s="20" t="s">
        <v>54</v>
      </c>
      <c r="D57" s="20" t="s">
        <v>38</v>
      </c>
      <c r="E57" s="20" t="s">
        <v>245</v>
      </c>
      <c r="F57" s="20" t="s">
        <v>6</v>
      </c>
      <c r="G57" s="21">
        <v>21357</v>
      </c>
      <c r="H57" s="13">
        <v>57.21</v>
      </c>
      <c r="I57" s="20" t="s">
        <v>8</v>
      </c>
      <c r="J57" s="21">
        <v>14070</v>
      </c>
      <c r="K57" s="21">
        <v>7287</v>
      </c>
      <c r="L57" s="20" t="s">
        <v>245</v>
      </c>
      <c r="M57" s="20" t="s">
        <v>6</v>
      </c>
      <c r="N57" s="21">
        <v>18684</v>
      </c>
      <c r="O57" s="13">
        <v>49.35</v>
      </c>
      <c r="P57" s="20" t="s">
        <v>9</v>
      </c>
      <c r="Q57" s="21">
        <v>17586</v>
      </c>
      <c r="R57" s="21">
        <v>1098</v>
      </c>
      <c r="S57" s="11">
        <f t="shared" si="6"/>
        <v>0.19520029498525077</v>
      </c>
      <c r="T57" s="11">
        <f t="shared" si="7"/>
        <v>2.9001445086705199E-2</v>
      </c>
      <c r="U57" s="6" t="str">
        <f t="shared" si="8"/>
        <v>No</v>
      </c>
      <c r="V57" s="6" t="str">
        <f t="shared" si="9"/>
        <v>BJP -&gt; BJP</v>
      </c>
      <c r="W57" s="6" t="str">
        <f t="shared" si="10"/>
        <v>No</v>
      </c>
      <c r="X57" s="6" t="str">
        <f t="shared" si="11"/>
        <v>Yes</v>
      </c>
    </row>
    <row r="58" spans="1:24" x14ac:dyDescent="0.3">
      <c r="A58" s="20">
        <v>57</v>
      </c>
      <c r="B58" s="20" t="s">
        <v>246</v>
      </c>
      <c r="C58" s="20" t="s">
        <v>54</v>
      </c>
      <c r="D58" s="20" t="s">
        <v>38</v>
      </c>
      <c r="E58" s="20" t="s">
        <v>247</v>
      </c>
      <c r="F58" s="20" t="s">
        <v>8</v>
      </c>
      <c r="G58" s="21">
        <v>18147</v>
      </c>
      <c r="H58" s="13">
        <v>48.54</v>
      </c>
      <c r="I58" s="20" t="s">
        <v>6</v>
      </c>
      <c r="J58" s="21">
        <v>17498</v>
      </c>
      <c r="K58" s="21">
        <v>649</v>
      </c>
      <c r="L58" s="20" t="s">
        <v>248</v>
      </c>
      <c r="M58" s="20" t="s">
        <v>8</v>
      </c>
      <c r="N58" s="21">
        <v>19386</v>
      </c>
      <c r="O58" s="13">
        <v>49.29</v>
      </c>
      <c r="P58" s="20" t="s">
        <v>6</v>
      </c>
      <c r="Q58" s="21">
        <v>19090</v>
      </c>
      <c r="R58" s="21">
        <v>296</v>
      </c>
      <c r="S58" s="11">
        <f t="shared" si="6"/>
        <v>1.7359596627541742E-2</v>
      </c>
      <c r="T58" s="11">
        <f t="shared" si="7"/>
        <v>7.5259671928195604E-3</v>
      </c>
      <c r="U58" s="6" t="str">
        <f t="shared" si="8"/>
        <v>No</v>
      </c>
      <c r="V58" s="6" t="str">
        <f t="shared" si="9"/>
        <v>CPI(M) -&gt; CPI(M)</v>
      </c>
      <c r="W58" s="6" t="str">
        <f t="shared" si="10"/>
        <v>Yes</v>
      </c>
      <c r="X58" s="6" t="str">
        <f t="shared" si="11"/>
        <v>Yes</v>
      </c>
    </row>
    <row r="59" spans="1:24" x14ac:dyDescent="0.3">
      <c r="A59" s="20">
        <v>58</v>
      </c>
      <c r="B59" s="20" t="s">
        <v>249</v>
      </c>
      <c r="C59" s="20" t="s">
        <v>54</v>
      </c>
      <c r="D59" s="20" t="s">
        <v>38</v>
      </c>
      <c r="E59" s="20" t="s">
        <v>250</v>
      </c>
      <c r="F59" s="20" t="s">
        <v>6</v>
      </c>
      <c r="G59" s="21">
        <v>15892</v>
      </c>
      <c r="H59" s="13">
        <v>48.54</v>
      </c>
      <c r="I59" s="20" t="s">
        <v>8</v>
      </c>
      <c r="J59" s="21">
        <v>15331</v>
      </c>
      <c r="K59" s="21">
        <v>561</v>
      </c>
      <c r="L59" s="20" t="s">
        <v>250</v>
      </c>
      <c r="M59" s="20" t="s">
        <v>6</v>
      </c>
      <c r="N59" s="21">
        <v>15745</v>
      </c>
      <c r="O59" s="13">
        <v>41.61</v>
      </c>
      <c r="P59" s="20" t="s">
        <v>8</v>
      </c>
      <c r="Q59" s="21">
        <v>13247</v>
      </c>
      <c r="R59" s="21">
        <v>2498</v>
      </c>
      <c r="S59" s="11">
        <f t="shared" si="6"/>
        <v>1.7134998741505158E-2</v>
      </c>
      <c r="T59" s="11">
        <f t="shared" si="7"/>
        <v>6.6015738329628454E-2</v>
      </c>
      <c r="U59" s="6" t="str">
        <f t="shared" si="8"/>
        <v>No</v>
      </c>
      <c r="V59" s="6" t="str">
        <f t="shared" si="9"/>
        <v>BJP -&gt; BJP</v>
      </c>
      <c r="W59" s="6" t="str">
        <f t="shared" si="10"/>
        <v>Yes</v>
      </c>
      <c r="X59" s="6" t="str">
        <f t="shared" si="11"/>
        <v>No</v>
      </c>
    </row>
    <row r="60" spans="1:24" x14ac:dyDescent="0.3">
      <c r="A60" s="20">
        <v>59</v>
      </c>
      <c r="B60" s="20" t="s">
        <v>251</v>
      </c>
      <c r="C60" s="20" t="s">
        <v>54</v>
      </c>
      <c r="D60" s="20" t="s">
        <v>40</v>
      </c>
      <c r="E60" s="20" t="s">
        <v>252</v>
      </c>
      <c r="F60" s="20" t="s">
        <v>6</v>
      </c>
      <c r="G60" s="21">
        <v>17743</v>
      </c>
      <c r="H60" s="13">
        <v>49.38</v>
      </c>
      <c r="I60" s="20" t="s">
        <v>8</v>
      </c>
      <c r="J60" s="21">
        <v>16370</v>
      </c>
      <c r="K60" s="21">
        <v>1373</v>
      </c>
      <c r="L60" s="20" t="s">
        <v>252</v>
      </c>
      <c r="M60" s="20" t="s">
        <v>6</v>
      </c>
      <c r="N60" s="21">
        <v>17781</v>
      </c>
      <c r="O60" s="13">
        <v>45.5</v>
      </c>
      <c r="P60" s="20" t="s">
        <v>8</v>
      </c>
      <c r="Q60" s="21">
        <v>9808</v>
      </c>
      <c r="R60" s="21">
        <v>7973</v>
      </c>
      <c r="S60" s="11">
        <f t="shared" si="6"/>
        <v>3.821154258017246E-2</v>
      </c>
      <c r="T60" s="11">
        <f t="shared" si="7"/>
        <v>0.20402198976435523</v>
      </c>
      <c r="U60" s="6" t="str">
        <f t="shared" si="8"/>
        <v>No</v>
      </c>
      <c r="V60" s="6" t="str">
        <f t="shared" si="9"/>
        <v>BJP -&gt; BJP</v>
      </c>
      <c r="W60" s="6" t="str">
        <f t="shared" si="10"/>
        <v>Yes</v>
      </c>
      <c r="X60" s="6" t="str">
        <f t="shared" si="11"/>
        <v>No</v>
      </c>
    </row>
    <row r="61" spans="1:24" x14ac:dyDescent="0.3">
      <c r="A61" s="20">
        <v>60</v>
      </c>
      <c r="B61" s="20" t="s">
        <v>253</v>
      </c>
      <c r="C61" s="20" t="s">
        <v>54</v>
      </c>
      <c r="D61" s="20" t="s">
        <v>40</v>
      </c>
      <c r="E61" s="20" t="s">
        <v>254</v>
      </c>
      <c r="F61" s="20" t="s">
        <v>7</v>
      </c>
      <c r="G61" s="21">
        <v>19448</v>
      </c>
      <c r="H61" s="13">
        <v>51.76</v>
      </c>
      <c r="I61" s="20" t="s">
        <v>8</v>
      </c>
      <c r="J61" s="21">
        <v>15317</v>
      </c>
      <c r="K61" s="21">
        <v>4131</v>
      </c>
      <c r="L61" s="20" t="s">
        <v>255</v>
      </c>
      <c r="M61" s="20" t="s">
        <v>10</v>
      </c>
      <c r="N61" s="21">
        <v>15413</v>
      </c>
      <c r="O61" s="13">
        <v>36.44</v>
      </c>
      <c r="P61" s="20" t="s">
        <v>8</v>
      </c>
      <c r="Q61" s="21">
        <v>10522</v>
      </c>
      <c r="R61" s="21">
        <v>4891</v>
      </c>
      <c r="S61" s="11">
        <f t="shared" si="6"/>
        <v>0.10994475524475524</v>
      </c>
      <c r="T61" s="11">
        <f t="shared" si="7"/>
        <v>0.11563487964705119</v>
      </c>
      <c r="U61" s="6" t="str">
        <f t="shared" si="8"/>
        <v>Yes</v>
      </c>
      <c r="V61" s="6" t="str">
        <f t="shared" si="9"/>
        <v>IPFT -&gt; TMP</v>
      </c>
      <c r="W61" s="6" t="str">
        <f t="shared" si="10"/>
        <v>No</v>
      </c>
      <c r="X61" s="6" t="str">
        <f t="shared" si="11"/>
        <v>No</v>
      </c>
    </row>
  </sheetData>
  <autoFilter ref="A1:X6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Salpa Jamatia</cp:lastModifiedBy>
  <cp:revision>1</cp:revision>
  <dcterms:created xsi:type="dcterms:W3CDTF">2026-10-16T05:09:21Z</dcterms:created>
  <dcterms:modified xsi:type="dcterms:W3CDTF">2026-10-16T08:33:49Z</dcterms:modified>
  <dc:language>en-US</dc:language>
</cp:coreProperties>
</file>